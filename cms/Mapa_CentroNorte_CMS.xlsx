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grupovips-my.sharepoint.com/personal/enrique_cesar_starbucks_com_mx/Documents/Nube_EnriqueCesar/GitHub/Mapa CN/"/>
    </mc:Choice>
  </mc:AlternateContent>
  <xr:revisionPtr revIDLastSave="0" documentId="14_{16B194AE-D1DB-44C9-8045-117F78EB9E5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icio" sheetId="1" r:id="rId1"/>
    <sheet name="Ubicaciones" sheetId="2" r:id="rId2"/>
    <sheet name="Indicadores" sheetId="3" r:id="rId3"/>
    <sheet name="Catalogos" sheetId="4" r:id="rId4"/>
    <sheet name="Validacion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13" i="5" l="1"/>
  <c r="C513" i="5" s="1"/>
  <c r="A512" i="5"/>
  <c r="C512" i="5" s="1"/>
  <c r="C511" i="5"/>
  <c r="B511" i="5"/>
  <c r="A511" i="5"/>
  <c r="C510" i="5"/>
  <c r="B510" i="5"/>
  <c r="A510" i="5"/>
  <c r="A509" i="5"/>
  <c r="C509" i="5" s="1"/>
  <c r="A508" i="5"/>
  <c r="C507" i="5"/>
  <c r="B507" i="5"/>
  <c r="A507" i="5"/>
  <c r="C506" i="5"/>
  <c r="A506" i="5"/>
  <c r="B506" i="5" s="1"/>
  <c r="A505" i="5"/>
  <c r="A504" i="5"/>
  <c r="C504" i="5" s="1"/>
  <c r="B503" i="5"/>
  <c r="A503" i="5"/>
  <c r="C503" i="5" s="1"/>
  <c r="A502" i="5"/>
  <c r="C502" i="5" s="1"/>
  <c r="C501" i="5"/>
  <c r="A501" i="5"/>
  <c r="B501" i="5" s="1"/>
  <c r="C500" i="5"/>
  <c r="A500" i="5"/>
  <c r="B500" i="5" s="1"/>
  <c r="C499" i="5"/>
  <c r="B499" i="5"/>
  <c r="A499" i="5"/>
  <c r="A498" i="5"/>
  <c r="C498" i="5" s="1"/>
  <c r="C497" i="5"/>
  <c r="A497" i="5"/>
  <c r="B497" i="5" s="1"/>
  <c r="A496" i="5"/>
  <c r="B496" i="5" s="1"/>
  <c r="A495" i="5"/>
  <c r="B495" i="5" s="1"/>
  <c r="C494" i="5"/>
  <c r="B494" i="5"/>
  <c r="A494" i="5"/>
  <c r="A493" i="5"/>
  <c r="C493" i="5" s="1"/>
  <c r="A492" i="5"/>
  <c r="C492" i="5" s="1"/>
  <c r="A491" i="5"/>
  <c r="C491" i="5" s="1"/>
  <c r="A490" i="5"/>
  <c r="C490" i="5" s="1"/>
  <c r="C489" i="5"/>
  <c r="B489" i="5"/>
  <c r="A489" i="5"/>
  <c r="C488" i="5"/>
  <c r="A488" i="5"/>
  <c r="B488" i="5" s="1"/>
  <c r="A487" i="5"/>
  <c r="C487" i="5" s="1"/>
  <c r="A486" i="5"/>
  <c r="C485" i="5"/>
  <c r="B485" i="5"/>
  <c r="A485" i="5"/>
  <c r="C484" i="5"/>
  <c r="A484" i="5"/>
  <c r="B484" i="5" s="1"/>
  <c r="A483" i="5"/>
  <c r="A482" i="5"/>
  <c r="C482" i="5" s="1"/>
  <c r="A481" i="5"/>
  <c r="C481" i="5" s="1"/>
  <c r="A480" i="5"/>
  <c r="B480" i="5" s="1"/>
  <c r="C479" i="5"/>
  <c r="A479" i="5"/>
  <c r="B479" i="5" s="1"/>
  <c r="B478" i="5"/>
  <c r="A478" i="5"/>
  <c r="C478" i="5" s="1"/>
  <c r="C477" i="5"/>
  <c r="B477" i="5"/>
  <c r="A477" i="5"/>
  <c r="A476" i="5"/>
  <c r="C476" i="5" s="1"/>
  <c r="A475" i="5"/>
  <c r="C475" i="5" s="1"/>
  <c r="A474" i="5"/>
  <c r="B474" i="5" s="1"/>
  <c r="A473" i="5"/>
  <c r="C473" i="5" s="1"/>
  <c r="C472" i="5"/>
  <c r="B472" i="5"/>
  <c r="A472" i="5"/>
  <c r="A471" i="5"/>
  <c r="C471" i="5" s="1"/>
  <c r="C470" i="5"/>
  <c r="B470" i="5"/>
  <c r="A470" i="5"/>
  <c r="A469" i="5"/>
  <c r="C469" i="5" s="1"/>
  <c r="A468" i="5"/>
  <c r="C468" i="5" s="1"/>
  <c r="C467" i="5"/>
  <c r="B467" i="5"/>
  <c r="A467" i="5"/>
  <c r="A466" i="5"/>
  <c r="C466" i="5" s="1"/>
  <c r="A465" i="5"/>
  <c r="C465" i="5" s="1"/>
  <c r="A464" i="5"/>
  <c r="C463" i="5"/>
  <c r="A463" i="5"/>
  <c r="B463" i="5" s="1"/>
  <c r="C462" i="5"/>
  <c r="A462" i="5"/>
  <c r="B462" i="5" s="1"/>
  <c r="A461" i="5"/>
  <c r="C460" i="5"/>
  <c r="B460" i="5"/>
  <c r="A460" i="5"/>
  <c r="B459" i="5"/>
  <c r="A459" i="5"/>
  <c r="C459" i="5" s="1"/>
  <c r="A458" i="5"/>
  <c r="C458" i="5" s="1"/>
  <c r="C457" i="5"/>
  <c r="A457" i="5"/>
  <c r="B457" i="5" s="1"/>
  <c r="A456" i="5"/>
  <c r="C456" i="5" s="1"/>
  <c r="C455" i="5"/>
  <c r="B455" i="5"/>
  <c r="A455" i="5"/>
  <c r="A454" i="5"/>
  <c r="C454" i="5" s="1"/>
  <c r="A453" i="5"/>
  <c r="C453" i="5" s="1"/>
  <c r="A452" i="5"/>
  <c r="B452" i="5" s="1"/>
  <c r="C451" i="5"/>
  <c r="B451" i="5"/>
  <c r="A451" i="5"/>
  <c r="C450" i="5"/>
  <c r="B450" i="5"/>
  <c r="A450" i="5"/>
  <c r="A449" i="5"/>
  <c r="C449" i="5" s="1"/>
  <c r="C448" i="5"/>
  <c r="B448" i="5"/>
  <c r="A448" i="5"/>
  <c r="A447" i="5"/>
  <c r="C447" i="5" s="1"/>
  <c r="A446" i="5"/>
  <c r="C446" i="5" s="1"/>
  <c r="C445" i="5"/>
  <c r="B445" i="5"/>
  <c r="A445" i="5"/>
  <c r="A444" i="5"/>
  <c r="C444" i="5" s="1"/>
  <c r="A443" i="5"/>
  <c r="C443" i="5" s="1"/>
  <c r="A442" i="5"/>
  <c r="B441" i="5"/>
  <c r="A441" i="5"/>
  <c r="C441" i="5" s="1"/>
  <c r="C440" i="5"/>
  <c r="A440" i="5"/>
  <c r="B440" i="5" s="1"/>
  <c r="A439" i="5"/>
  <c r="C438" i="5"/>
  <c r="B438" i="5"/>
  <c r="A438" i="5"/>
  <c r="B437" i="5"/>
  <c r="A437" i="5"/>
  <c r="C437" i="5" s="1"/>
  <c r="A436" i="5"/>
  <c r="B436" i="5" s="1"/>
  <c r="C435" i="5"/>
  <c r="A435" i="5"/>
  <c r="B435" i="5" s="1"/>
  <c r="A434" i="5"/>
  <c r="C434" i="5" s="1"/>
  <c r="C433" i="5"/>
  <c r="B433" i="5"/>
  <c r="A433" i="5"/>
  <c r="A432" i="5"/>
  <c r="C432" i="5" s="1"/>
  <c r="A431" i="5"/>
  <c r="C431" i="5" s="1"/>
  <c r="A430" i="5"/>
  <c r="B430" i="5" s="1"/>
  <c r="C429" i="5"/>
  <c r="B429" i="5"/>
  <c r="A429" i="5"/>
  <c r="C428" i="5"/>
  <c r="B428" i="5"/>
  <c r="A428" i="5"/>
  <c r="A427" i="5"/>
  <c r="C427" i="5" s="1"/>
  <c r="C426" i="5"/>
  <c r="A426" i="5"/>
  <c r="B426" i="5" s="1"/>
  <c r="A425" i="5"/>
  <c r="C425" i="5" s="1"/>
  <c r="A424" i="5"/>
  <c r="C424" i="5" s="1"/>
  <c r="C423" i="5"/>
  <c r="B423" i="5"/>
  <c r="A423" i="5"/>
  <c r="A422" i="5"/>
  <c r="C422" i="5" s="1"/>
  <c r="A421" i="5"/>
  <c r="B421" i="5" s="1"/>
  <c r="A420" i="5"/>
  <c r="B419" i="5"/>
  <c r="A419" i="5"/>
  <c r="C419" i="5" s="1"/>
  <c r="C418" i="5"/>
  <c r="A418" i="5"/>
  <c r="B418" i="5" s="1"/>
  <c r="A417" i="5"/>
  <c r="C416" i="5"/>
  <c r="A416" i="5"/>
  <c r="B416" i="5" s="1"/>
  <c r="A415" i="5"/>
  <c r="C415" i="5" s="1"/>
  <c r="A414" i="5"/>
  <c r="C414" i="5" s="1"/>
  <c r="C413" i="5"/>
  <c r="A413" i="5"/>
  <c r="B413" i="5" s="1"/>
  <c r="A412" i="5"/>
  <c r="C412" i="5" s="1"/>
  <c r="C411" i="5"/>
  <c r="B411" i="5"/>
  <c r="A411" i="5"/>
  <c r="A410" i="5"/>
  <c r="C410" i="5" s="1"/>
  <c r="A409" i="5"/>
  <c r="C409" i="5" s="1"/>
  <c r="A408" i="5"/>
  <c r="B408" i="5" s="1"/>
  <c r="C407" i="5"/>
  <c r="A407" i="5"/>
  <c r="B407" i="5" s="1"/>
  <c r="C406" i="5"/>
  <c r="B406" i="5"/>
  <c r="A406" i="5"/>
  <c r="A405" i="5"/>
  <c r="C405" i="5" s="1"/>
  <c r="B404" i="5"/>
  <c r="A404" i="5"/>
  <c r="C404" i="5" s="1"/>
  <c r="A403" i="5"/>
  <c r="C403" i="5" s="1"/>
  <c r="A402" i="5"/>
  <c r="C402" i="5" s="1"/>
  <c r="C401" i="5"/>
  <c r="B401" i="5"/>
  <c r="A401" i="5"/>
  <c r="A400" i="5"/>
  <c r="C400" i="5" s="1"/>
  <c r="A399" i="5"/>
  <c r="C399" i="5" s="1"/>
  <c r="A398" i="5"/>
  <c r="A397" i="5"/>
  <c r="C397" i="5" s="1"/>
  <c r="C396" i="5"/>
  <c r="A396" i="5"/>
  <c r="B396" i="5" s="1"/>
  <c r="A395" i="5"/>
  <c r="B394" i="5"/>
  <c r="A394" i="5"/>
  <c r="C394" i="5" s="1"/>
  <c r="A393" i="5"/>
  <c r="C393" i="5" s="1"/>
  <c r="C392" i="5"/>
  <c r="B392" i="5"/>
  <c r="A392" i="5"/>
  <c r="C391" i="5"/>
  <c r="A391" i="5"/>
  <c r="B391" i="5" s="1"/>
  <c r="A390" i="5"/>
  <c r="C390" i="5" s="1"/>
  <c r="C389" i="5"/>
  <c r="B389" i="5"/>
  <c r="A389" i="5"/>
  <c r="A388" i="5"/>
  <c r="C388" i="5" s="1"/>
  <c r="A387" i="5"/>
  <c r="B387" i="5" s="1"/>
  <c r="A386" i="5"/>
  <c r="B386" i="5" s="1"/>
  <c r="B385" i="5"/>
  <c r="A385" i="5"/>
  <c r="C385" i="5" s="1"/>
  <c r="C384" i="5"/>
  <c r="B384" i="5"/>
  <c r="A384" i="5"/>
  <c r="B383" i="5"/>
  <c r="A383" i="5"/>
  <c r="C383" i="5" s="1"/>
  <c r="B382" i="5"/>
  <c r="A382" i="5"/>
  <c r="C382" i="5" s="1"/>
  <c r="A381" i="5"/>
  <c r="C381" i="5" s="1"/>
  <c r="A380" i="5"/>
  <c r="C380" i="5" s="1"/>
  <c r="C379" i="5"/>
  <c r="B379" i="5"/>
  <c r="A379" i="5"/>
  <c r="A378" i="5"/>
  <c r="B378" i="5" s="1"/>
  <c r="C377" i="5"/>
  <c r="B377" i="5"/>
  <c r="A377" i="5"/>
  <c r="A376" i="5"/>
  <c r="A375" i="5"/>
  <c r="C375" i="5" s="1"/>
  <c r="C374" i="5"/>
  <c r="A374" i="5"/>
  <c r="B374" i="5" s="1"/>
  <c r="A373" i="5"/>
  <c r="B372" i="5"/>
  <c r="A372" i="5"/>
  <c r="C372" i="5" s="1"/>
  <c r="A371" i="5"/>
  <c r="C371" i="5" s="1"/>
  <c r="C370" i="5"/>
  <c r="B370" i="5"/>
  <c r="A370" i="5"/>
  <c r="C369" i="5"/>
  <c r="A369" i="5"/>
  <c r="B369" i="5" s="1"/>
  <c r="A368" i="5"/>
  <c r="C368" i="5" s="1"/>
  <c r="C367" i="5"/>
  <c r="B367" i="5"/>
  <c r="A367" i="5"/>
  <c r="A366" i="5"/>
  <c r="C366" i="5" s="1"/>
  <c r="A365" i="5"/>
  <c r="C365" i="5" s="1"/>
  <c r="C364" i="5"/>
  <c r="A364" i="5"/>
  <c r="B364" i="5" s="1"/>
  <c r="B363" i="5"/>
  <c r="A363" i="5"/>
  <c r="C363" i="5" s="1"/>
  <c r="C362" i="5"/>
  <c r="B362" i="5"/>
  <c r="A362" i="5"/>
  <c r="B361" i="5"/>
  <c r="A361" i="5"/>
  <c r="C361" i="5" s="1"/>
  <c r="A360" i="5"/>
  <c r="C360" i="5" s="1"/>
  <c r="A359" i="5"/>
  <c r="C359" i="5" s="1"/>
  <c r="A358" i="5"/>
  <c r="C358" i="5" s="1"/>
  <c r="C357" i="5"/>
  <c r="B357" i="5"/>
  <c r="A357" i="5"/>
  <c r="A356" i="5"/>
  <c r="C356" i="5" s="1"/>
  <c r="C355" i="5"/>
  <c r="B355" i="5"/>
  <c r="A355" i="5"/>
  <c r="A354" i="5"/>
  <c r="A353" i="5"/>
  <c r="C353" i="5" s="1"/>
  <c r="C352" i="5"/>
  <c r="A352" i="5"/>
  <c r="B352" i="5" s="1"/>
  <c r="A351" i="5"/>
  <c r="A350" i="5"/>
  <c r="C350" i="5" s="1"/>
  <c r="A349" i="5"/>
  <c r="C349" i="5" s="1"/>
  <c r="C348" i="5"/>
  <c r="A348" i="5"/>
  <c r="B348" i="5" s="1"/>
  <c r="C347" i="5"/>
  <c r="A347" i="5"/>
  <c r="B347" i="5" s="1"/>
  <c r="A346" i="5"/>
  <c r="C346" i="5" s="1"/>
  <c r="C345" i="5"/>
  <c r="B345" i="5"/>
  <c r="A345" i="5"/>
  <c r="A344" i="5"/>
  <c r="C344" i="5" s="1"/>
  <c r="A343" i="5"/>
  <c r="C343" i="5" s="1"/>
  <c r="C342" i="5"/>
  <c r="A342" i="5"/>
  <c r="B342" i="5" s="1"/>
  <c r="A341" i="5"/>
  <c r="C341" i="5" s="1"/>
  <c r="C340" i="5"/>
  <c r="B340" i="5"/>
  <c r="A340" i="5"/>
  <c r="A339" i="5"/>
  <c r="C339" i="5" s="1"/>
  <c r="A338" i="5"/>
  <c r="C338" i="5" s="1"/>
  <c r="A337" i="5"/>
  <c r="C337" i="5" s="1"/>
  <c r="B336" i="5"/>
  <c r="A336" i="5"/>
  <c r="C336" i="5" s="1"/>
  <c r="C335" i="5"/>
  <c r="B335" i="5"/>
  <c r="A335" i="5"/>
  <c r="A334" i="5"/>
  <c r="C334" i="5" s="1"/>
  <c r="C333" i="5"/>
  <c r="A333" i="5"/>
  <c r="B333" i="5" s="1"/>
  <c r="A332" i="5"/>
  <c r="A331" i="5"/>
  <c r="C331" i="5" s="1"/>
  <c r="C330" i="5"/>
  <c r="A330" i="5"/>
  <c r="B330" i="5" s="1"/>
  <c r="A329" i="5"/>
  <c r="A328" i="5"/>
  <c r="C328" i="5" s="1"/>
  <c r="A327" i="5"/>
  <c r="C327" i="5" s="1"/>
  <c r="A326" i="5"/>
  <c r="C326" i="5" s="1"/>
  <c r="C325" i="5"/>
  <c r="A325" i="5"/>
  <c r="B325" i="5" s="1"/>
  <c r="A324" i="5"/>
  <c r="B324" i="5" s="1"/>
  <c r="C323" i="5"/>
  <c r="B323" i="5"/>
  <c r="A323" i="5"/>
  <c r="A322" i="5"/>
  <c r="C322" i="5" s="1"/>
  <c r="A321" i="5"/>
  <c r="C321" i="5" s="1"/>
  <c r="A320" i="5"/>
  <c r="B320" i="5" s="1"/>
  <c r="A319" i="5"/>
  <c r="C319" i="5" s="1"/>
  <c r="C318" i="5"/>
  <c r="B318" i="5"/>
  <c r="A318" i="5"/>
  <c r="A317" i="5"/>
  <c r="C317" i="5" s="1"/>
  <c r="A316" i="5"/>
  <c r="C316" i="5" s="1"/>
  <c r="A315" i="5"/>
  <c r="C315" i="5" s="1"/>
  <c r="B314" i="5"/>
  <c r="A314" i="5"/>
  <c r="C314" i="5" s="1"/>
  <c r="C313" i="5"/>
  <c r="B313" i="5"/>
  <c r="A313" i="5"/>
  <c r="A312" i="5"/>
  <c r="C312" i="5" s="1"/>
  <c r="B311" i="5"/>
  <c r="A311" i="5"/>
  <c r="C311" i="5" s="1"/>
  <c r="A310" i="5"/>
  <c r="A309" i="5"/>
  <c r="C309" i="5" s="1"/>
  <c r="C308" i="5"/>
  <c r="A308" i="5"/>
  <c r="B308" i="5" s="1"/>
  <c r="A307" i="5"/>
  <c r="A306" i="5"/>
  <c r="C306" i="5" s="1"/>
  <c r="A305" i="5"/>
  <c r="C305" i="5" s="1"/>
  <c r="A304" i="5"/>
  <c r="C304" i="5" s="1"/>
  <c r="C303" i="5"/>
  <c r="A303" i="5"/>
  <c r="B303" i="5" s="1"/>
  <c r="C302" i="5"/>
  <c r="B302" i="5"/>
  <c r="A302" i="5"/>
  <c r="C301" i="5"/>
  <c r="B301" i="5"/>
  <c r="A301" i="5"/>
  <c r="A300" i="5"/>
  <c r="C300" i="5" s="1"/>
  <c r="C299" i="5"/>
  <c r="B299" i="5"/>
  <c r="A299" i="5"/>
  <c r="A298" i="5"/>
  <c r="B298" i="5" s="1"/>
  <c r="A297" i="5"/>
  <c r="C297" i="5" s="1"/>
  <c r="C296" i="5"/>
  <c r="B296" i="5"/>
  <c r="A296" i="5"/>
  <c r="A295" i="5"/>
  <c r="C295" i="5" s="1"/>
  <c r="A294" i="5"/>
  <c r="B294" i="5" s="1"/>
  <c r="A293" i="5"/>
  <c r="C293" i="5" s="1"/>
  <c r="A292" i="5"/>
  <c r="C292" i="5" s="1"/>
  <c r="C291" i="5"/>
  <c r="B291" i="5"/>
  <c r="A291" i="5"/>
  <c r="C290" i="5"/>
  <c r="B290" i="5"/>
  <c r="A290" i="5"/>
  <c r="B289" i="5"/>
  <c r="A289" i="5"/>
  <c r="C289" i="5" s="1"/>
  <c r="A288" i="5"/>
  <c r="A287" i="5"/>
  <c r="B287" i="5" s="1"/>
  <c r="C286" i="5"/>
  <c r="A286" i="5"/>
  <c r="B286" i="5" s="1"/>
  <c r="A285" i="5"/>
  <c r="A284" i="5"/>
  <c r="B284" i="5" s="1"/>
  <c r="B283" i="5"/>
  <c r="A283" i="5"/>
  <c r="C283" i="5" s="1"/>
  <c r="C282" i="5"/>
  <c r="A282" i="5"/>
  <c r="B282" i="5" s="1"/>
  <c r="C281" i="5"/>
  <c r="A281" i="5"/>
  <c r="B281" i="5" s="1"/>
  <c r="C280" i="5"/>
  <c r="B280" i="5"/>
  <c r="A280" i="5"/>
  <c r="C279" i="5"/>
  <c r="B279" i="5"/>
  <c r="A279" i="5"/>
  <c r="A278" i="5"/>
  <c r="C278" i="5" s="1"/>
  <c r="C277" i="5"/>
  <c r="B277" i="5"/>
  <c r="A277" i="5"/>
  <c r="A276" i="5"/>
  <c r="B276" i="5" s="1"/>
  <c r="A275" i="5"/>
  <c r="B275" i="5" s="1"/>
  <c r="C274" i="5"/>
  <c r="B274" i="5"/>
  <c r="A274" i="5"/>
  <c r="A273" i="5"/>
  <c r="C273" i="5" s="1"/>
  <c r="A272" i="5"/>
  <c r="B272" i="5" s="1"/>
  <c r="A271" i="5"/>
  <c r="C271" i="5" s="1"/>
  <c r="A270" i="5"/>
  <c r="C270" i="5" s="1"/>
  <c r="C269" i="5"/>
  <c r="B269" i="5"/>
  <c r="A269" i="5"/>
  <c r="C268" i="5"/>
  <c r="B268" i="5"/>
  <c r="A268" i="5"/>
  <c r="A267" i="5"/>
  <c r="B267" i="5" s="1"/>
  <c r="A266" i="5"/>
  <c r="C265" i="5"/>
  <c r="B265" i="5"/>
  <c r="A265" i="5"/>
  <c r="C264" i="5"/>
  <c r="A264" i="5"/>
  <c r="B264" i="5" s="1"/>
  <c r="A263" i="5"/>
  <c r="A262" i="5"/>
  <c r="B262" i="5" s="1"/>
  <c r="B261" i="5"/>
  <c r="A261" i="5"/>
  <c r="C261" i="5" s="1"/>
  <c r="A260" i="5"/>
  <c r="C260" i="5" s="1"/>
  <c r="C259" i="5"/>
  <c r="A259" i="5"/>
  <c r="B259" i="5" s="1"/>
  <c r="C258" i="5"/>
  <c r="A258" i="5"/>
  <c r="B258" i="5" s="1"/>
  <c r="C257" i="5"/>
  <c r="B257" i="5"/>
  <c r="A257" i="5"/>
  <c r="A256" i="5"/>
  <c r="C256" i="5" s="1"/>
  <c r="C255" i="5"/>
  <c r="A255" i="5"/>
  <c r="B255" i="5" s="1"/>
  <c r="A254" i="5"/>
  <c r="B254" i="5" s="1"/>
  <c r="A253" i="5"/>
  <c r="B253" i="5" s="1"/>
  <c r="C252" i="5"/>
  <c r="B252" i="5"/>
  <c r="A252" i="5"/>
  <c r="A251" i="5"/>
  <c r="C251" i="5" s="1"/>
  <c r="A250" i="5"/>
  <c r="C250" i="5" s="1"/>
  <c r="A249" i="5"/>
  <c r="C249" i="5" s="1"/>
  <c r="A248" i="5"/>
  <c r="C248" i="5" s="1"/>
  <c r="C247" i="5"/>
  <c r="B247" i="5"/>
  <c r="A247" i="5"/>
  <c r="C246" i="5"/>
  <c r="A246" i="5"/>
  <c r="B246" i="5" s="1"/>
  <c r="A245" i="5"/>
  <c r="C245" i="5" s="1"/>
  <c r="A244" i="5"/>
  <c r="C243" i="5"/>
  <c r="B243" i="5"/>
  <c r="A243" i="5"/>
  <c r="C242" i="5"/>
  <c r="A242" i="5"/>
  <c r="B242" i="5" s="1"/>
  <c r="A241" i="5"/>
  <c r="A240" i="5"/>
  <c r="B240" i="5" s="1"/>
  <c r="A239" i="5"/>
  <c r="C239" i="5" s="1"/>
  <c r="A238" i="5"/>
  <c r="C238" i="5" s="1"/>
  <c r="C237" i="5"/>
  <c r="A237" i="5"/>
  <c r="B237" i="5" s="1"/>
  <c r="B236" i="5"/>
  <c r="A236" i="5"/>
  <c r="C236" i="5" s="1"/>
  <c r="C235" i="5"/>
  <c r="B235" i="5"/>
  <c r="A235" i="5"/>
  <c r="A234" i="5"/>
  <c r="C234" i="5" s="1"/>
  <c r="A233" i="5"/>
  <c r="C233" i="5" s="1"/>
  <c r="A232" i="5"/>
  <c r="B232" i="5" s="1"/>
  <c r="A231" i="5"/>
  <c r="C231" i="5" s="1"/>
  <c r="C230" i="5"/>
  <c r="B230" i="5"/>
  <c r="A230" i="5"/>
  <c r="A229" i="5"/>
  <c r="C229" i="5" s="1"/>
  <c r="C228" i="5"/>
  <c r="B228" i="5"/>
  <c r="A228" i="5"/>
  <c r="A227" i="5"/>
  <c r="C227" i="5" s="1"/>
  <c r="A226" i="5"/>
  <c r="C226" i="5" s="1"/>
  <c r="C225" i="5"/>
  <c r="B225" i="5"/>
  <c r="A225" i="5"/>
  <c r="A224" i="5"/>
  <c r="C224" i="5" s="1"/>
  <c r="A223" i="5"/>
  <c r="B223" i="5" s="1"/>
  <c r="A222" i="5"/>
  <c r="C221" i="5"/>
  <c r="A221" i="5"/>
  <c r="B221" i="5" s="1"/>
  <c r="C220" i="5"/>
  <c r="A220" i="5"/>
  <c r="B220" i="5" s="1"/>
  <c r="A219" i="5"/>
  <c r="C218" i="5"/>
  <c r="B218" i="5"/>
  <c r="A218" i="5"/>
  <c r="B217" i="5"/>
  <c r="A217" i="5"/>
  <c r="C217" i="5" s="1"/>
  <c r="A216" i="5"/>
  <c r="C216" i="5" s="1"/>
  <c r="C215" i="5"/>
  <c r="A215" i="5"/>
  <c r="B215" i="5" s="1"/>
  <c r="B214" i="5"/>
  <c r="A214" i="5"/>
  <c r="C214" i="5" s="1"/>
  <c r="C213" i="5"/>
  <c r="B213" i="5"/>
  <c r="A213" i="5"/>
  <c r="A212" i="5"/>
  <c r="C212" i="5" s="1"/>
  <c r="A211" i="5"/>
  <c r="C211" i="5" s="1"/>
  <c r="A210" i="5"/>
  <c r="B210" i="5" s="1"/>
  <c r="C209" i="5"/>
  <c r="B209" i="5"/>
  <c r="A209" i="5"/>
  <c r="C208" i="5"/>
  <c r="B208" i="5"/>
  <c r="A208" i="5"/>
  <c r="A207" i="5"/>
  <c r="C207" i="5" s="1"/>
  <c r="C206" i="5"/>
  <c r="B206" i="5"/>
  <c r="A206" i="5"/>
  <c r="A205" i="5"/>
  <c r="C205" i="5" s="1"/>
  <c r="A204" i="5"/>
  <c r="C204" i="5" s="1"/>
  <c r="C203" i="5"/>
  <c r="B203" i="5"/>
  <c r="A203" i="5"/>
  <c r="A202" i="5"/>
  <c r="C202" i="5" s="1"/>
  <c r="A201" i="5"/>
  <c r="C201" i="5" s="1"/>
  <c r="A200" i="5"/>
  <c r="B199" i="5"/>
  <c r="A199" i="5"/>
  <c r="C199" i="5" s="1"/>
  <c r="C198" i="5"/>
  <c r="A198" i="5"/>
  <c r="B198" i="5" s="1"/>
  <c r="A197" i="5"/>
  <c r="C196" i="5"/>
  <c r="B196" i="5"/>
  <c r="A196" i="5"/>
  <c r="B195" i="5"/>
  <c r="A195" i="5"/>
  <c r="C195" i="5" s="1"/>
  <c r="A194" i="5"/>
  <c r="C194" i="5" s="1"/>
  <c r="C193" i="5"/>
  <c r="A193" i="5"/>
  <c r="B193" i="5" s="1"/>
  <c r="A192" i="5"/>
  <c r="B192" i="5" s="1"/>
  <c r="C191" i="5"/>
  <c r="B191" i="5"/>
  <c r="A191" i="5"/>
  <c r="A190" i="5"/>
  <c r="C190" i="5" s="1"/>
  <c r="C189" i="5"/>
  <c r="A189" i="5"/>
  <c r="B189" i="5" s="1"/>
  <c r="A188" i="5"/>
  <c r="B188" i="5" s="1"/>
  <c r="C187" i="5"/>
  <c r="B187" i="5"/>
  <c r="A187" i="5"/>
  <c r="C186" i="5"/>
  <c r="B186" i="5"/>
  <c r="A186" i="5"/>
  <c r="A185" i="5"/>
  <c r="C185" i="5" s="1"/>
  <c r="C184" i="5"/>
  <c r="A184" i="5"/>
  <c r="B184" i="5" s="1"/>
  <c r="A183" i="5"/>
  <c r="C183" i="5" s="1"/>
  <c r="A182" i="5"/>
  <c r="C182" i="5" s="1"/>
  <c r="C181" i="5"/>
  <c r="B181" i="5"/>
  <c r="A181" i="5"/>
  <c r="C180" i="5"/>
  <c r="A180" i="5"/>
  <c r="B180" i="5" s="1"/>
  <c r="A179" i="5"/>
  <c r="C179" i="5" s="1"/>
  <c r="A178" i="5"/>
  <c r="B177" i="5"/>
  <c r="A177" i="5"/>
  <c r="C177" i="5" s="1"/>
  <c r="C176" i="5"/>
  <c r="A176" i="5"/>
  <c r="B176" i="5" s="1"/>
  <c r="A175" i="5"/>
  <c r="C174" i="5"/>
  <c r="A174" i="5"/>
  <c r="B174" i="5" s="1"/>
  <c r="A173" i="5"/>
  <c r="C173" i="5" s="1"/>
  <c r="A172" i="5"/>
  <c r="B172" i="5" s="1"/>
  <c r="C171" i="5"/>
  <c r="A171" i="5"/>
  <c r="B171" i="5" s="1"/>
  <c r="A170" i="5"/>
  <c r="C170" i="5" s="1"/>
  <c r="C169" i="5"/>
  <c r="B169" i="5"/>
  <c r="A169" i="5"/>
  <c r="A168" i="5"/>
  <c r="C168" i="5" s="1"/>
  <c r="A167" i="5"/>
  <c r="C167" i="5" s="1"/>
  <c r="A166" i="5"/>
  <c r="B166" i="5" s="1"/>
  <c r="C165" i="5"/>
  <c r="A165" i="5"/>
  <c r="B165" i="5" s="1"/>
  <c r="C164" i="5"/>
  <c r="B164" i="5"/>
  <c r="A164" i="5"/>
  <c r="A163" i="5"/>
  <c r="C163" i="5" s="1"/>
  <c r="B162" i="5"/>
  <c r="A162" i="5"/>
  <c r="C162" i="5" s="1"/>
  <c r="A161" i="5"/>
  <c r="C161" i="5" s="1"/>
  <c r="A160" i="5"/>
  <c r="C160" i="5" s="1"/>
  <c r="C159" i="5"/>
  <c r="B159" i="5"/>
  <c r="A159" i="5"/>
  <c r="A158" i="5"/>
  <c r="C158" i="5" s="1"/>
  <c r="A157" i="5"/>
  <c r="B157" i="5" s="1"/>
  <c r="A156" i="5"/>
  <c r="A155" i="5"/>
  <c r="B155" i="5" s="1"/>
  <c r="C154" i="5"/>
  <c r="A154" i="5"/>
  <c r="B154" i="5" s="1"/>
  <c r="A153" i="5"/>
  <c r="B152" i="5"/>
  <c r="A152" i="5"/>
  <c r="C152" i="5" s="1"/>
  <c r="A151" i="5"/>
  <c r="C151" i="5" s="1"/>
  <c r="C150" i="5"/>
  <c r="B150" i="5"/>
  <c r="A150" i="5"/>
  <c r="C149" i="5"/>
  <c r="A149" i="5"/>
  <c r="B149" i="5" s="1"/>
  <c r="A148" i="5"/>
  <c r="B148" i="5" s="1"/>
  <c r="C147" i="5"/>
  <c r="B147" i="5"/>
  <c r="A147" i="5"/>
  <c r="A146" i="5"/>
  <c r="C146" i="5" s="1"/>
  <c r="A145" i="5"/>
  <c r="B145" i="5" s="1"/>
  <c r="A144" i="5"/>
  <c r="B144" i="5" s="1"/>
  <c r="B143" i="5"/>
  <c r="A143" i="5"/>
  <c r="C143" i="5" s="1"/>
  <c r="C142" i="5"/>
  <c r="B142" i="5"/>
  <c r="A142" i="5"/>
  <c r="B141" i="5"/>
  <c r="A141" i="5"/>
  <c r="C141" i="5" s="1"/>
  <c r="B140" i="5"/>
  <c r="A140" i="5"/>
  <c r="C140" i="5" s="1"/>
  <c r="A139" i="5"/>
  <c r="C139" i="5" s="1"/>
  <c r="A138" i="5"/>
  <c r="C138" i="5" s="1"/>
  <c r="C137" i="5"/>
  <c r="B137" i="5"/>
  <c r="A137" i="5"/>
  <c r="A136" i="5"/>
  <c r="B136" i="5" s="1"/>
  <c r="C135" i="5"/>
  <c r="B135" i="5"/>
  <c r="A135" i="5"/>
  <c r="A134" i="5"/>
  <c r="A133" i="5"/>
  <c r="C133" i="5" s="1"/>
  <c r="C132" i="5"/>
  <c r="A132" i="5"/>
  <c r="B132" i="5" s="1"/>
  <c r="A131" i="5"/>
  <c r="B130" i="5"/>
  <c r="A130" i="5"/>
  <c r="C130" i="5" s="1"/>
  <c r="A129" i="5"/>
  <c r="C129" i="5" s="1"/>
  <c r="C128" i="5"/>
  <c r="B128" i="5"/>
  <c r="A128" i="5"/>
  <c r="C127" i="5"/>
  <c r="A127" i="5"/>
  <c r="B127" i="5" s="1"/>
  <c r="A126" i="5"/>
  <c r="B126" i="5" s="1"/>
  <c r="C125" i="5"/>
  <c r="B125" i="5"/>
  <c r="A125" i="5"/>
  <c r="A124" i="5"/>
  <c r="C124" i="5" s="1"/>
  <c r="A123" i="5"/>
  <c r="B123" i="5" s="1"/>
  <c r="C122" i="5"/>
  <c r="A122" i="5"/>
  <c r="B122" i="5" s="1"/>
  <c r="B121" i="5"/>
  <c r="A121" i="5"/>
  <c r="C121" i="5" s="1"/>
  <c r="C120" i="5"/>
  <c r="B120" i="5"/>
  <c r="A120" i="5"/>
  <c r="B119" i="5"/>
  <c r="A119" i="5"/>
  <c r="C119" i="5" s="1"/>
  <c r="A118" i="5"/>
  <c r="B118" i="5" s="1"/>
  <c r="B117" i="5"/>
  <c r="A117" i="5"/>
  <c r="C117" i="5" s="1"/>
  <c r="B116" i="5"/>
  <c r="A116" i="5"/>
  <c r="C116" i="5" s="1"/>
  <c r="C115" i="5"/>
  <c r="B115" i="5"/>
  <c r="A115" i="5"/>
  <c r="A114" i="5"/>
  <c r="C114" i="5" s="1"/>
  <c r="A113" i="5"/>
  <c r="C113" i="5" s="1"/>
  <c r="A112" i="5"/>
  <c r="A111" i="5"/>
  <c r="C111" i="5" s="1"/>
  <c r="C110" i="5"/>
  <c r="A110" i="5"/>
  <c r="B110" i="5" s="1"/>
  <c r="A109" i="5"/>
  <c r="A108" i="5"/>
  <c r="C108" i="5" s="1"/>
  <c r="A107" i="5"/>
  <c r="C107" i="5" s="1"/>
  <c r="B106" i="5"/>
  <c r="A106" i="5"/>
  <c r="C106" i="5" s="1"/>
  <c r="C105" i="5"/>
  <c r="A105" i="5"/>
  <c r="B105" i="5" s="1"/>
  <c r="C104" i="5"/>
  <c r="B104" i="5"/>
  <c r="A104" i="5"/>
  <c r="C103" i="5"/>
  <c r="B103" i="5"/>
  <c r="A103" i="5"/>
  <c r="A102" i="5"/>
  <c r="C102" i="5" s="1"/>
  <c r="A101" i="5"/>
  <c r="C101" i="5" s="1"/>
  <c r="A100" i="5"/>
  <c r="B100" i="5" s="1"/>
  <c r="A99" i="5"/>
  <c r="C99" i="5" s="1"/>
  <c r="C98" i="5"/>
  <c r="B98" i="5"/>
  <c r="A98" i="5"/>
  <c r="C97" i="5"/>
  <c r="A97" i="5"/>
  <c r="B97" i="5" s="1"/>
  <c r="A96" i="5"/>
  <c r="B96" i="5" s="1"/>
  <c r="B95" i="5"/>
  <c r="A95" i="5"/>
  <c r="C95" i="5" s="1"/>
  <c r="B94" i="5"/>
  <c r="A94" i="5"/>
  <c r="C94" i="5" s="1"/>
  <c r="C93" i="5"/>
  <c r="B93" i="5"/>
  <c r="A93" i="5"/>
  <c r="C92" i="5"/>
  <c r="A92" i="5"/>
  <c r="B92" i="5" s="1"/>
  <c r="A91" i="5"/>
  <c r="C91" i="5" s="1"/>
  <c r="A90" i="5"/>
  <c r="C90" i="5" s="1"/>
  <c r="B89" i="5"/>
  <c r="A89" i="5"/>
  <c r="C89" i="5" s="1"/>
  <c r="A88" i="5"/>
  <c r="B88" i="5" s="1"/>
  <c r="A87" i="5"/>
  <c r="C87" i="5" s="1"/>
  <c r="A86" i="5"/>
  <c r="C86" i="5" s="1"/>
  <c r="A85" i="5"/>
  <c r="C85" i="5" s="1"/>
  <c r="A84" i="5"/>
  <c r="C84" i="5" s="1"/>
  <c r="A83" i="5"/>
  <c r="B83" i="5" s="1"/>
  <c r="A82" i="5"/>
  <c r="C82" i="5" s="1"/>
  <c r="C81" i="5"/>
  <c r="B81" i="5"/>
  <c r="A81" i="5"/>
  <c r="C80" i="5"/>
  <c r="A80" i="5"/>
  <c r="B80" i="5" s="1"/>
  <c r="A79" i="5"/>
  <c r="B79" i="5" s="1"/>
  <c r="C78" i="5"/>
  <c r="A78" i="5"/>
  <c r="B78" i="5" s="1"/>
  <c r="B77" i="5"/>
  <c r="A77" i="5"/>
  <c r="C77" i="5" s="1"/>
  <c r="C76" i="5"/>
  <c r="B76" i="5"/>
  <c r="A76" i="5"/>
  <c r="C75" i="5"/>
  <c r="A75" i="5"/>
  <c r="B75" i="5" s="1"/>
  <c r="A74" i="5"/>
  <c r="C74" i="5" s="1"/>
  <c r="B73" i="5"/>
  <c r="A73" i="5"/>
  <c r="C73" i="5" s="1"/>
  <c r="B72" i="5"/>
  <c r="A72" i="5"/>
  <c r="C72" i="5" s="1"/>
  <c r="C71" i="5"/>
  <c r="B71" i="5"/>
  <c r="A71" i="5"/>
  <c r="C70" i="5"/>
  <c r="B70" i="5"/>
  <c r="A70" i="5"/>
  <c r="A69" i="5"/>
  <c r="C69" i="5" s="1"/>
  <c r="A68" i="5"/>
  <c r="C68" i="5" s="1"/>
  <c r="C67" i="5"/>
  <c r="A67" i="5"/>
  <c r="B67" i="5" s="1"/>
  <c r="A66" i="5"/>
  <c r="B66" i="5" s="1"/>
  <c r="A65" i="5"/>
  <c r="C65" i="5" s="1"/>
  <c r="C64" i="5"/>
  <c r="A64" i="5"/>
  <c r="B64" i="5" s="1"/>
  <c r="A63" i="5"/>
  <c r="C63" i="5" s="1"/>
  <c r="A62" i="5"/>
  <c r="B62" i="5" s="1"/>
  <c r="C61" i="5"/>
  <c r="A61" i="5"/>
  <c r="B61" i="5" s="1"/>
  <c r="A60" i="5"/>
  <c r="C60" i="5" s="1"/>
  <c r="C59" i="5"/>
  <c r="B59" i="5"/>
  <c r="A59" i="5"/>
  <c r="A58" i="5"/>
  <c r="B58" i="5" s="1"/>
  <c r="A57" i="5"/>
  <c r="C57" i="5" s="1"/>
  <c r="A56" i="5"/>
  <c r="B56" i="5" s="1"/>
  <c r="B55" i="5"/>
  <c r="A55" i="5"/>
  <c r="C55" i="5" s="1"/>
  <c r="C54" i="5"/>
  <c r="B54" i="5"/>
  <c r="A54" i="5"/>
  <c r="C53" i="5"/>
  <c r="B53" i="5"/>
  <c r="A53" i="5"/>
  <c r="A52" i="5"/>
  <c r="C52" i="5" s="1"/>
  <c r="B51" i="5"/>
  <c r="A51" i="5"/>
  <c r="C51" i="5" s="1"/>
  <c r="C50" i="5"/>
  <c r="A50" i="5"/>
  <c r="B50" i="5" s="1"/>
  <c r="C49" i="5"/>
  <c r="B49" i="5"/>
  <c r="A49" i="5"/>
  <c r="C48" i="5"/>
  <c r="B48" i="5"/>
  <c r="A48" i="5"/>
  <c r="C47" i="5"/>
  <c r="A47" i="5"/>
  <c r="B47" i="5" s="1"/>
  <c r="A46" i="5"/>
  <c r="C46" i="5" s="1"/>
  <c r="C45" i="5"/>
  <c r="B45" i="5"/>
  <c r="A45" i="5"/>
  <c r="C44" i="5"/>
  <c r="A44" i="5"/>
  <c r="B44" i="5" s="1"/>
  <c r="A43" i="5"/>
  <c r="C43" i="5" s="1"/>
  <c r="C42" i="5"/>
  <c r="B42" i="5"/>
  <c r="A42" i="5"/>
  <c r="A41" i="5"/>
  <c r="C41" i="5" s="1"/>
  <c r="A40" i="5"/>
  <c r="B40" i="5" s="1"/>
  <c r="C39" i="5"/>
  <c r="A39" i="5"/>
  <c r="B39" i="5" s="1"/>
  <c r="C38" i="5"/>
  <c r="A38" i="5"/>
  <c r="B38" i="5" s="1"/>
  <c r="C37" i="5"/>
  <c r="B37" i="5"/>
  <c r="A37" i="5"/>
  <c r="C36" i="5"/>
  <c r="A36" i="5"/>
  <c r="B36" i="5" s="1"/>
  <c r="A35" i="5"/>
  <c r="C35" i="5" s="1"/>
  <c r="A34" i="5"/>
  <c r="B34" i="5" s="1"/>
  <c r="C33" i="5"/>
  <c r="A33" i="5"/>
  <c r="B33" i="5" s="1"/>
  <c r="C32" i="5"/>
  <c r="B32" i="5"/>
  <c r="A32" i="5"/>
  <c r="C31" i="5"/>
  <c r="B31" i="5"/>
  <c r="A31" i="5"/>
  <c r="C30" i="5"/>
  <c r="A30" i="5"/>
  <c r="B30" i="5" s="1"/>
  <c r="B29" i="5"/>
  <c r="A29" i="5"/>
  <c r="C29" i="5" s="1"/>
  <c r="C28" i="5"/>
  <c r="B28" i="5"/>
  <c r="A28" i="5"/>
  <c r="C27" i="5"/>
  <c r="B27" i="5"/>
  <c r="A27" i="5"/>
  <c r="A26" i="5"/>
  <c r="B26" i="5" s="1"/>
  <c r="A25" i="5"/>
  <c r="C25" i="5" s="1"/>
  <c r="A24" i="5"/>
  <c r="C24" i="5" s="1"/>
  <c r="C23" i="5"/>
  <c r="B23" i="5"/>
  <c r="A23" i="5"/>
  <c r="C22" i="5"/>
  <c r="A22" i="5"/>
  <c r="B22" i="5" s="1"/>
  <c r="A21" i="5"/>
  <c r="C21" i="5" s="1"/>
  <c r="C20" i="5"/>
  <c r="B20" i="5"/>
  <c r="A20" i="5"/>
  <c r="A19" i="5"/>
  <c r="C19" i="5" s="1"/>
  <c r="A18" i="5"/>
  <c r="B18" i="5" s="1"/>
  <c r="A17" i="5"/>
  <c r="B17" i="5" s="1"/>
  <c r="A16" i="5"/>
  <c r="C16" i="5" s="1"/>
  <c r="C15" i="5"/>
  <c r="B15" i="5"/>
  <c r="A15" i="5"/>
  <c r="C14" i="5"/>
  <c r="A14" i="5"/>
  <c r="B14" i="5" s="1"/>
  <c r="B6" i="5"/>
  <c r="B5" i="5"/>
  <c r="B16" i="1"/>
  <c r="B15" i="1"/>
  <c r="B14" i="1"/>
  <c r="B114" i="5" l="1"/>
  <c r="B179" i="5"/>
  <c r="B309" i="5"/>
  <c r="B346" i="5"/>
  <c r="C439" i="5"/>
  <c r="B439" i="5"/>
  <c r="B504" i="5"/>
  <c r="C62" i="5"/>
  <c r="C96" i="5"/>
  <c r="B160" i="5"/>
  <c r="C188" i="5"/>
  <c r="B207" i="5"/>
  <c r="B216" i="5"/>
  <c r="C253" i="5"/>
  <c r="C262" i="5"/>
  <c r="C272" i="5"/>
  <c r="B356" i="5"/>
  <c r="B365" i="5"/>
  <c r="B402" i="5"/>
  <c r="C421" i="5"/>
  <c r="C430" i="5"/>
  <c r="B449" i="5"/>
  <c r="B458" i="5"/>
  <c r="C495" i="5"/>
  <c r="B21" i="5"/>
  <c r="C79" i="5"/>
  <c r="C88" i="5"/>
  <c r="C123" i="5"/>
  <c r="B133" i="5"/>
  <c r="B151" i="5"/>
  <c r="B170" i="5"/>
  <c r="B245" i="5"/>
  <c r="C263" i="5"/>
  <c r="B263" i="5"/>
  <c r="C310" i="5"/>
  <c r="B310" i="5"/>
  <c r="B319" i="5"/>
  <c r="B328" i="5"/>
  <c r="B338" i="5"/>
  <c r="B375" i="5"/>
  <c r="B393" i="5"/>
  <c r="B412" i="5"/>
  <c r="B487" i="5"/>
  <c r="C505" i="5"/>
  <c r="B505" i="5"/>
  <c r="B63" i="5"/>
  <c r="B226" i="5"/>
  <c r="C254" i="5"/>
  <c r="B273" i="5"/>
  <c r="B422" i="5"/>
  <c r="B431" i="5"/>
  <c r="B468" i="5"/>
  <c r="C496" i="5"/>
  <c r="B87" i="5"/>
  <c r="C197" i="5"/>
  <c r="B197" i="5"/>
  <c r="C244" i="5"/>
  <c r="B244" i="5"/>
  <c r="B327" i="5"/>
  <c r="C486" i="5"/>
  <c r="B486" i="5"/>
  <c r="B46" i="5"/>
  <c r="C134" i="5"/>
  <c r="B134" i="5"/>
  <c r="C329" i="5"/>
  <c r="B329" i="5"/>
  <c r="C376" i="5"/>
  <c r="B376" i="5"/>
  <c r="B292" i="5"/>
  <c r="C320" i="5"/>
  <c r="B339" i="5"/>
  <c r="C200" i="5"/>
  <c r="B200" i="5"/>
  <c r="C332" i="5"/>
  <c r="B332" i="5"/>
  <c r="B341" i="5"/>
  <c r="B350" i="5"/>
  <c r="B360" i="5"/>
  <c r="C378" i="5"/>
  <c r="C387" i="5"/>
  <c r="B397" i="5"/>
  <c r="B415" i="5"/>
  <c r="B434" i="5"/>
  <c r="C480" i="5"/>
  <c r="B509" i="5"/>
  <c r="B16" i="5"/>
  <c r="B25" i="5"/>
  <c r="B41" i="5"/>
  <c r="C109" i="5"/>
  <c r="B109" i="5"/>
  <c r="C118" i="5"/>
  <c r="C155" i="5"/>
  <c r="C192" i="5"/>
  <c r="B202" i="5"/>
  <c r="B211" i="5"/>
  <c r="B248" i="5"/>
  <c r="C267" i="5"/>
  <c r="C276" i="5"/>
  <c r="B295" i="5"/>
  <c r="B304" i="5"/>
  <c r="B444" i="5"/>
  <c r="B453" i="5"/>
  <c r="B490" i="5"/>
  <c r="C58" i="5"/>
  <c r="C83" i="5"/>
  <c r="C100" i="5"/>
  <c r="C156" i="5"/>
  <c r="B156" i="5"/>
  <c r="B239" i="5"/>
  <c r="C351" i="5"/>
  <c r="B351" i="5"/>
  <c r="C398" i="5"/>
  <c r="B398" i="5"/>
  <c r="B481" i="5"/>
  <c r="C395" i="5"/>
  <c r="B395" i="5"/>
  <c r="B405" i="5"/>
  <c r="B414" i="5"/>
  <c r="C172" i="5"/>
  <c r="B368" i="5"/>
  <c r="B443" i="5"/>
  <c r="B24" i="5"/>
  <c r="C66" i="5"/>
  <c r="C285" i="5"/>
  <c r="B285" i="5"/>
  <c r="B84" i="5"/>
  <c r="B101" i="5"/>
  <c r="C175" i="5"/>
  <c r="B175" i="5"/>
  <c r="B399" i="5"/>
  <c r="C464" i="5"/>
  <c r="B464" i="5"/>
  <c r="B473" i="5"/>
  <c r="B492" i="5"/>
  <c r="B111" i="5"/>
  <c r="C287" i="5"/>
  <c r="C324" i="5"/>
  <c r="B334" i="5"/>
  <c r="B343" i="5"/>
  <c r="C288" i="5"/>
  <c r="B288" i="5"/>
  <c r="B297" i="5"/>
  <c r="B306" i="5"/>
  <c r="B316" i="5"/>
  <c r="B353" i="5"/>
  <c r="B371" i="5"/>
  <c r="B390" i="5"/>
  <c r="C436" i="5"/>
  <c r="B465" i="5"/>
  <c r="C483" i="5"/>
  <c r="B483" i="5"/>
  <c r="C18" i="5"/>
  <c r="B35" i="5"/>
  <c r="B52" i="5"/>
  <c r="B60" i="5"/>
  <c r="B69" i="5"/>
  <c r="B85" i="5"/>
  <c r="C112" i="5"/>
  <c r="B112" i="5"/>
  <c r="C148" i="5"/>
  <c r="B158" i="5"/>
  <c r="B167" i="5"/>
  <c r="B204" i="5"/>
  <c r="C223" i="5"/>
  <c r="C232" i="5"/>
  <c r="B251" i="5"/>
  <c r="B260" i="5"/>
  <c r="B400" i="5"/>
  <c r="B409" i="5"/>
  <c r="B446" i="5"/>
  <c r="C474" i="5"/>
  <c r="B493" i="5"/>
  <c r="B502" i="5"/>
  <c r="C144" i="5"/>
  <c r="B312" i="5"/>
  <c r="B321" i="5"/>
  <c r="B349" i="5"/>
  <c r="B82" i="5"/>
  <c r="B99" i="5"/>
  <c r="C126" i="5"/>
  <c r="C275" i="5"/>
  <c r="C284" i="5"/>
  <c r="C294" i="5"/>
  <c r="C136" i="5"/>
  <c r="C145" i="5"/>
  <c r="B173" i="5"/>
  <c r="B482" i="5"/>
  <c r="B185" i="5"/>
  <c r="B194" i="5"/>
  <c r="C240" i="5"/>
  <c r="C354" i="5"/>
  <c r="B354" i="5"/>
  <c r="B456" i="5"/>
  <c r="B90" i="5"/>
  <c r="B163" i="5"/>
  <c r="B358" i="5"/>
  <c r="C386" i="5"/>
  <c r="B201" i="5"/>
  <c r="C266" i="5"/>
  <c r="B266" i="5"/>
  <c r="B331" i="5"/>
  <c r="C461" i="5"/>
  <c r="B461" i="5"/>
  <c r="C40" i="5"/>
  <c r="B182" i="5"/>
  <c r="C210" i="5"/>
  <c r="B424" i="5"/>
  <c r="C452" i="5"/>
  <c r="C26" i="5"/>
  <c r="C34" i="5"/>
  <c r="B68" i="5"/>
  <c r="B138" i="5"/>
  <c r="C157" i="5"/>
  <c r="C166" i="5"/>
  <c r="B380" i="5"/>
  <c r="C408" i="5"/>
  <c r="B427" i="5"/>
  <c r="B43" i="5"/>
  <c r="B129" i="5"/>
  <c r="C241" i="5"/>
  <c r="B241" i="5"/>
  <c r="C307" i="5"/>
  <c r="B307" i="5"/>
  <c r="B19" i="5"/>
  <c r="B86" i="5"/>
  <c r="B113" i="5"/>
  <c r="B224" i="5"/>
  <c r="B233" i="5"/>
  <c r="B270" i="5"/>
  <c r="C298" i="5"/>
  <c r="B317" i="5"/>
  <c r="B326" i="5"/>
  <c r="B466" i="5"/>
  <c r="B475" i="5"/>
  <c r="B512" i="5"/>
  <c r="C153" i="5"/>
  <c r="B153" i="5"/>
  <c r="C442" i="5"/>
  <c r="B442" i="5"/>
  <c r="C56" i="5"/>
  <c r="B107" i="5"/>
  <c r="B65" i="5"/>
  <c r="C219" i="5"/>
  <c r="B219" i="5"/>
  <c r="C508" i="5"/>
  <c r="B508" i="5"/>
  <c r="B57" i="5"/>
  <c r="B74" i="5"/>
  <c r="B91" i="5"/>
  <c r="B108" i="5"/>
  <c r="B229" i="5"/>
  <c r="B238" i="5"/>
  <c r="B471" i="5"/>
  <c r="C17" i="5"/>
  <c r="B7" i="5" s="1"/>
  <c r="C222" i="5"/>
  <c r="B222" i="5"/>
  <c r="B231" i="5"/>
  <c r="B250" i="5"/>
  <c r="B305" i="5"/>
  <c r="C417" i="5"/>
  <c r="B417" i="5"/>
  <c r="C131" i="5"/>
  <c r="B131" i="5"/>
  <c r="C178" i="5"/>
  <c r="B178" i="5"/>
  <c r="C373" i="5"/>
  <c r="B373" i="5"/>
  <c r="C420" i="5"/>
  <c r="B420" i="5"/>
  <c r="B102" i="5"/>
  <c r="B124" i="5"/>
  <c r="B146" i="5"/>
  <c r="B168" i="5"/>
  <c r="B190" i="5"/>
  <c r="B212" i="5"/>
  <c r="B234" i="5"/>
  <c r="B256" i="5"/>
  <c r="B278" i="5"/>
  <c r="B300" i="5"/>
  <c r="B322" i="5"/>
  <c r="B344" i="5"/>
  <c r="B366" i="5"/>
  <c r="B388" i="5"/>
  <c r="B410" i="5"/>
  <c r="B432" i="5"/>
  <c r="B454" i="5"/>
  <c r="B476" i="5"/>
  <c r="B498" i="5"/>
  <c r="B139" i="5"/>
  <c r="B161" i="5"/>
  <c r="B183" i="5"/>
  <c r="B205" i="5"/>
  <c r="B227" i="5"/>
  <c r="B249" i="5"/>
  <c r="B271" i="5"/>
  <c r="B293" i="5"/>
  <c r="B315" i="5"/>
  <c r="B337" i="5"/>
  <c r="B359" i="5"/>
  <c r="B381" i="5"/>
  <c r="B403" i="5"/>
  <c r="B425" i="5"/>
  <c r="B447" i="5"/>
  <c r="B469" i="5"/>
  <c r="B491" i="5"/>
  <c r="B513" i="5"/>
  <c r="B8" i="5" l="1"/>
</calcChain>
</file>

<file path=xl/sharedStrings.xml><?xml version="1.0" encoding="utf-8"?>
<sst xmlns="http://schemas.openxmlformats.org/spreadsheetml/2006/main" count="759" uniqueCount="257">
  <si>
    <t>CENTRO NORTE · CMS EXCEL</t>
  </si>
  <si>
    <t>Flujo de actualización</t>
  </si>
  <si>
    <t>1</t>
  </si>
  <si>
    <t>Edita</t>
  </si>
  <si>
    <t>Ubicaciones</t>
  </si>
  <si>
    <t>Datos estables, coordenadas y formato</t>
  </si>
  <si>
    <t>2</t>
  </si>
  <si>
    <t>Actualiza</t>
  </si>
  <si>
    <t>Indicadores</t>
  </si>
  <si>
    <t>Métricas del corte; conserva el CC</t>
  </si>
  <si>
    <t>3</t>
  </si>
  <si>
    <t>Revisa</t>
  </si>
  <si>
    <t>Validacion</t>
  </si>
  <si>
    <t>Confirma que todos los controles indiquen OK</t>
  </si>
  <si>
    <t>4</t>
  </si>
  <si>
    <t>Carga</t>
  </si>
  <si>
    <t>Administrar</t>
  </si>
  <si>
    <t>Sube este .xlsx; Python valida, respalda y actualiza JSON</t>
  </si>
  <si>
    <t>Resumen conectado a las hojas editables</t>
  </si>
  <si>
    <t>Indicador</t>
  </si>
  <si>
    <t>Valor</t>
  </si>
  <si>
    <t>Tiendas capturadas</t>
  </si>
  <si>
    <t>Tiendas activas</t>
  </si>
  <si>
    <t>Filas de indicadores</t>
  </si>
  <si>
    <t>Regla clave: CC es el identificador único y debe existir una sola vez en Ubicaciones y una sola vez en Indicadores. No cambies los encabezados de las tablas.</t>
  </si>
  <si>
    <t>CC</t>
  </si>
  <si>
    <t>Nombre Tienda</t>
  </si>
  <si>
    <t>DM</t>
  </si>
  <si>
    <t>Fecha Apertura</t>
  </si>
  <si>
    <t>Municipio</t>
  </si>
  <si>
    <t>Cobertura</t>
  </si>
  <si>
    <t>Formato</t>
  </si>
  <si>
    <t>Formato Comercial</t>
  </si>
  <si>
    <t>Tier</t>
  </si>
  <si>
    <t>Latitud</t>
  </si>
  <si>
    <t>Longitud</t>
  </si>
  <si>
    <t>Activa</t>
  </si>
  <si>
    <t>38401</t>
  </si>
  <si>
    <t>Coacalco</t>
  </si>
  <si>
    <t>Enrique César</t>
  </si>
  <si>
    <t>Coacalco De Berriozábal</t>
  </si>
  <si>
    <t>Estado De México</t>
  </si>
  <si>
    <t>Cafe</t>
  </si>
  <si>
    <t>Hypermarket</t>
  </si>
  <si>
    <t>C2</t>
  </si>
  <si>
    <t>Sí</t>
  </si>
  <si>
    <t>38604</t>
  </si>
  <si>
    <t>Cosmopol</t>
  </si>
  <si>
    <t>Kiosko</t>
  </si>
  <si>
    <t>Mall</t>
  </si>
  <si>
    <t>C1</t>
  </si>
  <si>
    <t>43193</t>
  </si>
  <si>
    <t>Cosmopol N1</t>
  </si>
  <si>
    <t>38333</t>
  </si>
  <si>
    <t>Izcalli Mega</t>
  </si>
  <si>
    <t>Cuatitlan Izcalli</t>
  </si>
  <si>
    <t>38368</t>
  </si>
  <si>
    <t>Luna Park</t>
  </si>
  <si>
    <t>38515</t>
  </si>
  <si>
    <t>Patio Ecatepec</t>
  </si>
  <si>
    <t>Ecatepec De Morelos</t>
  </si>
  <si>
    <t>38456</t>
  </si>
  <si>
    <t>Plaza las Flores</t>
  </si>
  <si>
    <t>38339</t>
  </si>
  <si>
    <t>San Marcos</t>
  </si>
  <si>
    <t>38862</t>
  </si>
  <si>
    <t>San Miguel Izcalli</t>
  </si>
  <si>
    <t>38186</t>
  </si>
  <si>
    <t>Arboledas</t>
  </si>
  <si>
    <t>Nancy Rodríguez</t>
  </si>
  <si>
    <t>Atizapan De Zaragoza</t>
  </si>
  <si>
    <t>Neighborhood</t>
  </si>
  <si>
    <t>38894</t>
  </si>
  <si>
    <t>Galerias Perinorte</t>
  </si>
  <si>
    <t>38230</t>
  </si>
  <si>
    <t>ITEMS Edo de Mexico</t>
  </si>
  <si>
    <t>Education</t>
  </si>
  <si>
    <t>38661</t>
  </si>
  <si>
    <t>Jinetes</t>
  </si>
  <si>
    <t>38674</t>
  </si>
  <si>
    <t>Mundo E</t>
  </si>
  <si>
    <t>Tlalnepantla</t>
  </si>
  <si>
    <t>38845</t>
  </si>
  <si>
    <t>Mundo E II</t>
  </si>
  <si>
    <t>38792</t>
  </si>
  <si>
    <t>Pasaje Tlanepantla</t>
  </si>
  <si>
    <t>38136</t>
  </si>
  <si>
    <t>Punta Norte</t>
  </si>
  <si>
    <t>38460</t>
  </si>
  <si>
    <t>Santa Monica</t>
  </si>
  <si>
    <t>38442</t>
  </si>
  <si>
    <t>Sor Juana</t>
  </si>
  <si>
    <t>Street</t>
  </si>
  <si>
    <t>38606</t>
  </si>
  <si>
    <t>TlalnepantlaCarso</t>
  </si>
  <si>
    <t>38374</t>
  </si>
  <si>
    <t>Valle Dorado</t>
  </si>
  <si>
    <t>Shopping Center</t>
  </si>
  <si>
    <t>38694</t>
  </si>
  <si>
    <t>Villas de la Hacienda</t>
  </si>
  <si>
    <t>43194</t>
  </si>
  <si>
    <t>Atana Lindavista</t>
  </si>
  <si>
    <t>Vanessa Carreño</t>
  </si>
  <si>
    <t>Gustavo A. Madero</t>
  </si>
  <si>
    <t>Ciudad De México</t>
  </si>
  <si>
    <t>38527</t>
  </si>
  <si>
    <t>Camarones</t>
  </si>
  <si>
    <t>Azcapotzalco</t>
  </si>
  <si>
    <t>Drive_Thru</t>
  </si>
  <si>
    <t>38837</t>
  </si>
  <si>
    <t>Centenario Azcapotzalco</t>
  </si>
  <si>
    <t>38205</t>
  </si>
  <si>
    <t>Lindavista</t>
  </si>
  <si>
    <t>38207</t>
  </si>
  <si>
    <t>Lindavista II</t>
  </si>
  <si>
    <t>38371</t>
  </si>
  <si>
    <t>Montevideo DT</t>
  </si>
  <si>
    <t>43111</t>
  </si>
  <si>
    <t>Montevideo Insurgentes</t>
  </si>
  <si>
    <t>Main Avenues</t>
  </si>
  <si>
    <t>43195</t>
  </si>
  <si>
    <t>Parque Jadin kiosko</t>
  </si>
  <si>
    <t>38546</t>
  </si>
  <si>
    <t>Patio Claveria</t>
  </si>
  <si>
    <t>38677</t>
  </si>
  <si>
    <t>Patio la Raza</t>
  </si>
  <si>
    <t>38719</t>
  </si>
  <si>
    <t>Plaza Fortuna</t>
  </si>
  <si>
    <t>43132</t>
  </si>
  <si>
    <t>Plaza Vista Norte</t>
  </si>
  <si>
    <t>38411</t>
  </si>
  <si>
    <t>Torres Lindavista</t>
  </si>
  <si>
    <t>38651</t>
  </si>
  <si>
    <t>Via Vallejo</t>
  </si>
  <si>
    <t>38930</t>
  </si>
  <si>
    <t>Blvd. Aeropuerto dt</t>
  </si>
  <si>
    <t>Veronica García</t>
  </si>
  <si>
    <t>Venustiano Carranza</t>
  </si>
  <si>
    <t>Highway</t>
  </si>
  <si>
    <t>38529</t>
  </si>
  <si>
    <t>Bosques de Aragon</t>
  </si>
  <si>
    <t>38431</t>
  </si>
  <si>
    <t>Eduardo Molina</t>
  </si>
  <si>
    <t>38903</t>
  </si>
  <si>
    <t>Encuentro Oceania</t>
  </si>
  <si>
    <t>38995</t>
  </si>
  <si>
    <t>Encuentro Oceania II</t>
  </si>
  <si>
    <t>38937</t>
  </si>
  <si>
    <t>Parque Tepeyac Piso 1</t>
  </si>
  <si>
    <t>38965</t>
  </si>
  <si>
    <t>Parque Tepeyac Piso 2</t>
  </si>
  <si>
    <t>38924</t>
  </si>
  <si>
    <t>Plaza Aeropuerto</t>
  </si>
  <si>
    <t>38811</t>
  </si>
  <si>
    <t>Plaza Tepeyac</t>
  </si>
  <si>
    <t>38992</t>
  </si>
  <si>
    <t>Tapo Puerta Oriente</t>
  </si>
  <si>
    <t>Train &amp; Bus Stations</t>
  </si>
  <si>
    <t>38695</t>
  </si>
  <si>
    <t>Cetram 4 Caminos</t>
  </si>
  <si>
    <t>Yazmin Chabela</t>
  </si>
  <si>
    <t>Naucalpan</t>
  </si>
  <si>
    <t>38197</t>
  </si>
  <si>
    <t>Echegaray</t>
  </si>
  <si>
    <t>38458</t>
  </si>
  <si>
    <t>El Rosario</t>
  </si>
  <si>
    <t>38770</t>
  </si>
  <si>
    <t>Gustavo Baz 29</t>
  </si>
  <si>
    <t>38561</t>
  </si>
  <si>
    <t>Parque Toreo</t>
  </si>
  <si>
    <t>38590</t>
  </si>
  <si>
    <t>Parque Toreo II</t>
  </si>
  <si>
    <t>38176</t>
  </si>
  <si>
    <t>Periferico Satélite DT</t>
  </si>
  <si>
    <t>38427</t>
  </si>
  <si>
    <t>Plaza Satelite</t>
  </si>
  <si>
    <t>38859</t>
  </si>
  <si>
    <t>Plaza Satelite II N1</t>
  </si>
  <si>
    <t>43152</t>
  </si>
  <si>
    <t>Samara Satélite</t>
  </si>
  <si>
    <t>38117</t>
  </si>
  <si>
    <t>Satelite</t>
  </si>
  <si>
    <t>38475</t>
  </si>
  <si>
    <t>Satelite Centro Civico</t>
  </si>
  <si>
    <t>38656</t>
  </si>
  <si>
    <t>Viveros de la Loma</t>
  </si>
  <si>
    <t>43043</t>
  </si>
  <si>
    <t>Atizapan</t>
  </si>
  <si>
    <t>Yazmin García</t>
  </si>
  <si>
    <t>38149</t>
  </si>
  <si>
    <t>Bellavista</t>
  </si>
  <si>
    <t>38394</t>
  </si>
  <si>
    <t>Centro Comercial Lomas Verdes</t>
  </si>
  <si>
    <t>38535</t>
  </si>
  <si>
    <t>City Center Esmeralda</t>
  </si>
  <si>
    <t>38507</t>
  </si>
  <si>
    <t>Espacio Vista del Valle</t>
  </si>
  <si>
    <t>38363</t>
  </si>
  <si>
    <t>Galerias Atizapan</t>
  </si>
  <si>
    <t>38119</t>
  </si>
  <si>
    <t>Lomas Verdes</t>
  </si>
  <si>
    <t>38270</t>
  </si>
  <si>
    <t>Lomas Verdes II</t>
  </si>
  <si>
    <t>38266</t>
  </si>
  <si>
    <t>San Mateo</t>
  </si>
  <si>
    <t>38925</t>
  </si>
  <si>
    <t>Star Medica Lomas Verdes</t>
  </si>
  <si>
    <t>Health Care</t>
  </si>
  <si>
    <t>43130</t>
  </si>
  <si>
    <t>Town Center Nicolás Romero</t>
  </si>
  <si>
    <t>Nicolás Romero</t>
  </si>
  <si>
    <t>38115</t>
  </si>
  <si>
    <t>Zona Azul</t>
  </si>
  <si>
    <t>38142</t>
  </si>
  <si>
    <t>Zona Esmeralda</t>
  </si>
  <si>
    <t>Corte YTD</t>
  </si>
  <si>
    <t>Rolling</t>
  </si>
  <si>
    <t>TPLH</t>
  </si>
  <si>
    <t>IPLH</t>
  </si>
  <si>
    <t>Labor</t>
  </si>
  <si>
    <t>Dif Labor</t>
  </si>
  <si>
    <t>Ventas MXN</t>
  </si>
  <si>
    <t>Dif Ppto</t>
  </si>
  <si>
    <t>OMT</t>
  </si>
  <si>
    <t>NPS</t>
  </si>
  <si>
    <t>Conexión</t>
  </si>
  <si>
    <t>Bebida</t>
  </si>
  <si>
    <t>CTC</t>
  </si>
  <si>
    <t>Costo</t>
  </si>
  <si>
    <t>Dif Costo</t>
  </si>
  <si>
    <t>EBITDA</t>
  </si>
  <si>
    <t>Dif EBITDA</t>
  </si>
  <si>
    <t>DT Time</t>
  </si>
  <si>
    <t>Tiempo DT AA</t>
  </si>
  <si>
    <t>01:25</t>
  </si>
  <si>
    <t>01:21</t>
  </si>
  <si>
    <t>01:37</t>
  </si>
  <si>
    <t>01:42</t>
  </si>
  <si>
    <t>01:36</t>
  </si>
  <si>
    <t>01:29</t>
  </si>
  <si>
    <t>01:24</t>
  </si>
  <si>
    <t>01:20</t>
  </si>
  <si>
    <t>01:15</t>
  </si>
  <si>
    <t>01:13</t>
  </si>
  <si>
    <t>01:27</t>
  </si>
  <si>
    <t>No</t>
  </si>
  <si>
    <t>VALIDACIÓN DEL CMS</t>
  </si>
  <si>
    <t>Control</t>
  </si>
  <si>
    <t>Resultado</t>
  </si>
  <si>
    <t>Ubicaciones capturadas</t>
  </si>
  <si>
    <t>Indicadores capturados</t>
  </si>
  <si>
    <t>CC duplicados en Ubicaciones</t>
  </si>
  <si>
    <t>CC sin fila de Indicadores</t>
  </si>
  <si>
    <t>La carga en Python vuelve a ejecutar estas validaciones y además comprueba encabezados, coordenadas y relación entre ambas pestañas.</t>
  </si>
  <si>
    <t>CC Ubicación</t>
  </si>
  <si>
    <t>En Indicadores</t>
  </si>
  <si>
    <t>Duplicado Ubicación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</si>
</sst>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0.0%"/>
    <numFmt numFmtId="167" formatCode="&quot;$&quot;#,##0"/>
    <numFmt numFmtId="168" formatCode="0.0"/>
    <numFmt numFmtId="171" formatCode="dd/mm/yy"/>
    <numFmt numFmtId="174" formatCode="0.000"/>
  </numFmts>
  <fonts count="8">
    <font>
      <sz val="11"/>
      <name val="Carlito"/>
    </font>
    <font>
      <b/>
      <sz val="22"/>
      <color rgb="FFFFFFFF"/>
      <name val="Carlito"/>
    </font>
    <font>
      <b/>
      <sz val="11"/>
      <color rgb="FFFFFFFF"/>
      <name val="Carlito"/>
    </font>
    <font>
      <b/>
      <sz val="11"/>
      <color rgb="FF006241"/>
      <name val="Carlito"/>
    </font>
    <font>
      <b/>
      <sz val="11"/>
      <color rgb="FF12372A"/>
      <name val="Carlito"/>
    </font>
    <font>
      <b/>
      <sz val="16"/>
      <color rgb="FF006241"/>
      <name val="Carlito"/>
    </font>
    <font>
      <i/>
      <sz val="11"/>
      <color rgb="FF12372A"/>
      <name val="Carlito"/>
    </font>
    <font>
      <b/>
      <sz val="20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2372A"/>
      </patternFill>
    </fill>
    <fill>
      <patternFill patternType="solid">
        <fgColor rgb="FFDFF2E9"/>
      </patternFill>
    </fill>
    <fill>
      <patternFill patternType="solid">
        <fgColor rgb="FF006241"/>
      </patternFill>
    </fill>
    <fill>
      <patternFill patternType="solid">
        <fgColor rgb="FFF6F3ED"/>
      </patternFill>
    </fill>
  </fills>
  <borders count="18">
    <border>
      <left/>
      <right/>
      <top/>
      <bottom/>
      <diagonal/>
    </border>
    <border>
      <left style="thin">
        <color rgb="FFD8E0DC"/>
      </left>
      <right/>
      <top style="thin">
        <color rgb="FFD8E0DC"/>
      </top>
      <bottom/>
      <diagonal/>
    </border>
    <border>
      <left/>
      <right/>
      <top style="thin">
        <color rgb="FFD8E0DC"/>
      </top>
      <bottom/>
      <diagonal/>
    </border>
    <border>
      <left/>
      <right style="thin">
        <color rgb="FFD8E0DC"/>
      </right>
      <top style="thin">
        <color rgb="FFD8E0DC"/>
      </top>
      <bottom/>
      <diagonal/>
    </border>
    <border>
      <left style="thin">
        <color rgb="FFD8E0DC"/>
      </left>
      <right/>
      <top/>
      <bottom/>
      <diagonal/>
    </border>
    <border>
      <left/>
      <right style="thin">
        <color rgb="FFD8E0DC"/>
      </right>
      <top/>
      <bottom/>
      <diagonal/>
    </border>
    <border>
      <left style="thin">
        <color rgb="FFD8E0DC"/>
      </left>
      <right/>
      <top/>
      <bottom style="thin">
        <color rgb="FFD8E0DC"/>
      </bottom>
      <diagonal/>
    </border>
    <border>
      <left/>
      <right/>
      <top/>
      <bottom style="thin">
        <color rgb="FFD8E0DC"/>
      </bottom>
      <diagonal/>
    </border>
    <border>
      <left/>
      <right style="thin">
        <color rgb="FFD8E0DC"/>
      </right>
      <top/>
      <bottom style="thin">
        <color rgb="FFD8E0DC"/>
      </bottom>
      <diagonal/>
    </border>
    <border>
      <left/>
      <right style="thin">
        <color rgb="FFE8ECEA"/>
      </right>
      <top/>
      <bottom style="thin">
        <color rgb="FFE8ECEA"/>
      </bottom>
      <diagonal/>
    </border>
    <border>
      <left style="thin">
        <color rgb="FFE8ECEA"/>
      </left>
      <right style="thin">
        <color rgb="FFE8ECEA"/>
      </right>
      <top/>
      <bottom style="thin">
        <color rgb="FFE8ECEA"/>
      </bottom>
      <diagonal/>
    </border>
    <border>
      <left style="thin">
        <color rgb="FFE8ECEA"/>
      </left>
      <right/>
      <top/>
      <bottom style="thin">
        <color rgb="FFE8ECEA"/>
      </bottom>
      <diagonal/>
    </border>
    <border>
      <left/>
      <right style="thin">
        <color rgb="FFE8ECEA"/>
      </right>
      <top style="thin">
        <color rgb="FFE8ECEA"/>
      </top>
      <bottom style="thin">
        <color rgb="FFE8ECEA"/>
      </bottom>
      <diagonal/>
    </border>
    <border>
      <left style="thin">
        <color rgb="FFE8ECEA"/>
      </left>
      <right style="thin">
        <color rgb="FFE8ECEA"/>
      </right>
      <top style="thin">
        <color rgb="FFE8ECEA"/>
      </top>
      <bottom style="thin">
        <color rgb="FFE8ECEA"/>
      </bottom>
      <diagonal/>
    </border>
    <border>
      <left style="thin">
        <color rgb="FFE8ECEA"/>
      </left>
      <right/>
      <top style="thin">
        <color rgb="FFE8ECEA"/>
      </top>
      <bottom style="thin">
        <color rgb="FFE8ECEA"/>
      </bottom>
      <diagonal/>
    </border>
    <border>
      <left/>
      <right style="thin">
        <color rgb="FFE8ECEA"/>
      </right>
      <top style="thin">
        <color rgb="FFE8ECEA"/>
      </top>
      <bottom/>
      <diagonal/>
    </border>
    <border>
      <left style="thin">
        <color rgb="FFE8ECEA"/>
      </left>
      <right style="thin">
        <color rgb="FFE8ECEA"/>
      </right>
      <top style="thin">
        <color rgb="FFE8ECEA"/>
      </top>
      <bottom/>
      <diagonal/>
    </border>
    <border>
      <left style="thin">
        <color rgb="FFE8ECEA"/>
      </left>
      <right/>
      <top style="thin">
        <color rgb="FFE8ECEA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3" borderId="0" xfId="0" applyFont="1" applyFill="1" applyAlignment="1">
      <alignment horizontal="center"/>
    </xf>
    <xf numFmtId="0" fontId="4" fillId="0" borderId="0" xfId="0" applyFont="1"/>
    <xf numFmtId="0" fontId="2" fillId="4" borderId="0" xfId="0" applyFont="1" applyFill="1" applyAlignment="1">
      <alignment vertical="center" wrapText="1"/>
    </xf>
    <xf numFmtId="3" fontId="5" fillId="3" borderId="0" xfId="0" applyNumberFormat="1" applyFont="1" applyFill="1"/>
    <xf numFmtId="0" fontId="6" fillId="5" borderId="0" xfId="0" applyFont="1" applyFill="1" applyAlignment="1">
      <alignment vertical="center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" fillId="4" borderId="9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49" fontId="0" fillId="0" borderId="0" xfId="0" applyNumberFormat="1"/>
    <xf numFmtId="49" fontId="0" fillId="0" borderId="12" xfId="0" applyNumberForma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49" fontId="0" fillId="0" borderId="15" xfId="0" applyNumberFormat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6" fillId="5" borderId="1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0" fontId="6" fillId="5" borderId="3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vertical="center" wrapText="1"/>
    </xf>
    <xf numFmtId="0" fontId="6" fillId="5" borderId="0" xfId="0" applyFont="1" applyFill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vertical="center" wrapText="1"/>
    </xf>
    <xf numFmtId="0" fontId="6" fillId="5" borderId="7" xfId="0" applyFont="1" applyFill="1" applyBorder="1" applyAlignment="1">
      <alignment vertical="center" wrapText="1"/>
    </xf>
    <xf numFmtId="0" fontId="6" fillId="5" borderId="8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/>
    </xf>
    <xf numFmtId="171" fontId="0" fillId="0" borderId="13" xfId="0" applyNumberFormat="1" applyBorder="1" applyAlignment="1">
      <alignment vertical="center"/>
    </xf>
    <xf numFmtId="171" fontId="0" fillId="0" borderId="16" xfId="0" applyNumberFormat="1" applyBorder="1" applyAlignment="1">
      <alignment vertical="center"/>
    </xf>
    <xf numFmtId="174" fontId="0" fillId="0" borderId="13" xfId="0" applyNumberFormat="1" applyBorder="1" applyAlignment="1">
      <alignment vertical="center"/>
    </xf>
    <xf numFmtId="174" fontId="0" fillId="0" borderId="16" xfId="0" applyNumberFormat="1" applyBorder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9">
    <dxf>
      <numFmt numFmtId="171" formatCode="dd/mm/yy"/>
      <alignment horizontal="general" vertical="center" textRotation="0" wrapText="0" indent="0" justifyLastLine="0" shrinkToFit="0" readingOrder="0"/>
      <border diagonalUp="0" diagonalDown="0">
        <left style="thin">
          <color rgb="FFE8ECEA"/>
        </left>
        <right style="thin">
          <color rgb="FFE8ECEA"/>
        </right>
        <top style="thin">
          <color rgb="FFE8ECEA"/>
        </top>
        <bottom style="thin">
          <color rgb="FFE8ECEA"/>
        </bottom>
        <vertical/>
        <horizontal/>
      </border>
    </dxf>
    <dxf>
      <numFmt numFmtId="174" formatCode="0.000"/>
      <border outline="0">
        <left style="thin">
          <color rgb="FFE8ECEA"/>
        </left>
      </border>
    </dxf>
    <dxf>
      <border outline="0">
        <left style="thin">
          <color rgb="FFE8ECEA"/>
        </left>
      </border>
    </dxf>
    <dxf>
      <numFmt numFmtId="174" formatCode="0.000"/>
      <border outline="0">
        <right style="thin">
          <color rgb="FFE8ECEA"/>
        </right>
      </border>
    </dxf>
    <dxf>
      <border outline="0">
        <right style="thin">
          <color rgb="FFE8ECEA"/>
        </right>
      </border>
    </dxf>
    <dxf>
      <numFmt numFmtId="171" formatCode="dd/mm/yy"/>
    </dxf>
    <dxf>
      <font>
        <b/>
        <color rgb="FF9B2C2C"/>
      </font>
      <fill>
        <patternFill patternType="solid">
          <bgColor rgb="FFFDE8E7"/>
        </patternFill>
      </fill>
    </dxf>
    <dxf>
      <font>
        <b/>
        <color rgb="FF9B2C2C"/>
      </font>
      <fill>
        <patternFill patternType="solid">
          <bgColor rgb="FFFDE8E7"/>
        </patternFill>
      </fill>
    </dxf>
    <dxf>
      <font>
        <b/>
        <color rgb="FF7A5B00"/>
      </font>
      <fill>
        <patternFill patternType="solid">
          <bgColor rgb="FFFFF3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bicacionesTable" displayName="UbicacionesTable" ref="A1:L73" totalsRowShown="0">
  <tableColumns count="12">
    <tableColumn id="1" xr3:uid="{00000000-0010-0000-0000-000001000000}" name="CC"/>
    <tableColumn id="2" xr3:uid="{00000000-0010-0000-0000-000002000000}" name="Nombre Tienda"/>
    <tableColumn id="3" xr3:uid="{00000000-0010-0000-0000-000003000000}" name="DM"/>
    <tableColumn id="4" xr3:uid="{00000000-0010-0000-0000-000004000000}" name="Fecha Apertura" dataDxfId="5"/>
    <tableColumn id="5" xr3:uid="{00000000-0010-0000-0000-000005000000}" name="Municipio"/>
    <tableColumn id="6" xr3:uid="{00000000-0010-0000-0000-000006000000}" name="Cobertura"/>
    <tableColumn id="7" xr3:uid="{00000000-0010-0000-0000-000007000000}" name="Formato"/>
    <tableColumn id="8" xr3:uid="{00000000-0010-0000-0000-000008000000}" name="Formato Comercial"/>
    <tableColumn id="9" xr3:uid="{00000000-0010-0000-0000-000009000000}" name="Tier" dataDxfId="4"/>
    <tableColumn id="10" xr3:uid="{00000000-0010-0000-0000-00000A000000}" name="Latitud" dataDxfId="3"/>
    <tableColumn id="11" xr3:uid="{00000000-0010-0000-0000-00000B000000}" name="Longitud" dataDxfId="1"/>
    <tableColumn id="12" xr3:uid="{00000000-0010-0000-0000-00000C000000}" name="Activa" dataDxfId="2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dicadoresTable" displayName="IndicadoresTable" ref="A1:T73" totalsRowShown="0">
  <sortState xmlns:xlrd2="http://schemas.microsoft.com/office/spreadsheetml/2017/richdata2" ref="A2:T73">
    <sortCondition ref="A1:A73"/>
  </sortState>
  <tableColumns count="20">
    <tableColumn id="1" xr3:uid="{00000000-0010-0000-0100-000001000000}" name="CC"/>
    <tableColumn id="2" xr3:uid="{00000000-0010-0000-0100-000002000000}" name="Corte YTD" dataDxfId="0"/>
    <tableColumn id="3" xr3:uid="{00000000-0010-0000-0100-000003000000}" name="Rolling"/>
    <tableColumn id="4" xr3:uid="{00000000-0010-0000-0100-000004000000}" name="TPLH"/>
    <tableColumn id="5" xr3:uid="{00000000-0010-0000-0100-000005000000}" name="IPLH"/>
    <tableColumn id="6" xr3:uid="{00000000-0010-0000-0100-000006000000}" name="Labor"/>
    <tableColumn id="7" xr3:uid="{00000000-0010-0000-0100-000007000000}" name="Dif Labor"/>
    <tableColumn id="8" xr3:uid="{00000000-0010-0000-0100-000008000000}" name="Ventas MXN"/>
    <tableColumn id="9" xr3:uid="{00000000-0010-0000-0100-000009000000}" name="Dif Ppto"/>
    <tableColumn id="10" xr3:uid="{00000000-0010-0000-0100-00000A000000}" name="OMT"/>
    <tableColumn id="11" xr3:uid="{00000000-0010-0000-0100-00000B000000}" name="NPS"/>
    <tableColumn id="12" xr3:uid="{00000000-0010-0000-0100-00000C000000}" name="Conexión"/>
    <tableColumn id="13" xr3:uid="{00000000-0010-0000-0100-00000D000000}" name="Bebida"/>
    <tableColumn id="14" xr3:uid="{00000000-0010-0000-0100-00000E000000}" name="CTC"/>
    <tableColumn id="15" xr3:uid="{00000000-0010-0000-0100-00000F000000}" name="Costo"/>
    <tableColumn id="16" xr3:uid="{00000000-0010-0000-0100-000010000000}" name="Dif Costo"/>
    <tableColumn id="17" xr3:uid="{00000000-0010-0000-0100-000011000000}" name="EBITDA"/>
    <tableColumn id="18" xr3:uid="{00000000-0010-0000-0100-000012000000}" name="Dif EBITDA"/>
    <tableColumn id="19" xr3:uid="{00000000-0010-0000-0100-000013000000}" name="DT Time"/>
    <tableColumn id="20" xr3:uid="{00000000-0010-0000-0100-000014000000}" name="Tiempo DT AA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showGridLines="0" tabSelected="1" workbookViewId="0">
      <selection activeCell="A18" sqref="A18:H20"/>
    </sheetView>
  </sheetViews>
  <sheetFormatPr baseColWidth="10" defaultColWidth="8.6640625" defaultRowHeight="14"/>
  <cols>
    <col min="1" max="1" width="14" customWidth="1"/>
    <col min="2" max="2" width="18" customWidth="1"/>
    <col min="3" max="3" width="20" customWidth="1"/>
    <col min="4" max="8" width="17" customWidth="1"/>
  </cols>
  <sheetData>
    <row r="1" spans="1:8" ht="30" customHeight="1">
      <c r="A1" s="27" t="s">
        <v>0</v>
      </c>
      <c r="B1" s="27"/>
      <c r="C1" s="27"/>
      <c r="D1" s="27"/>
      <c r="E1" s="27"/>
      <c r="F1" s="27"/>
      <c r="G1" s="27"/>
      <c r="H1" s="27"/>
    </row>
    <row r="2" spans="1:8" ht="30" customHeight="1">
      <c r="A2" s="27"/>
      <c r="B2" s="27"/>
      <c r="C2" s="27"/>
      <c r="D2" s="27"/>
      <c r="E2" s="27"/>
      <c r="F2" s="27"/>
      <c r="G2" s="27"/>
      <c r="H2" s="27"/>
    </row>
    <row r="4" spans="1:8">
      <c r="A4" s="28" t="s">
        <v>1</v>
      </c>
      <c r="B4" s="28"/>
      <c r="C4" s="28"/>
      <c r="D4" s="28"/>
      <c r="E4" s="28"/>
      <c r="F4" s="28"/>
      <c r="G4" s="28"/>
      <c r="H4" s="28"/>
    </row>
    <row r="6" spans="1:8">
      <c r="A6" s="1" t="s">
        <v>2</v>
      </c>
      <c r="B6" s="2" t="s">
        <v>3</v>
      </c>
      <c r="C6" s="2" t="s">
        <v>4</v>
      </c>
      <c r="D6" t="s">
        <v>5</v>
      </c>
    </row>
    <row r="7" spans="1:8">
      <c r="A7" s="1" t="s">
        <v>6</v>
      </c>
      <c r="B7" s="2" t="s">
        <v>7</v>
      </c>
      <c r="C7" s="2" t="s">
        <v>8</v>
      </c>
      <c r="D7" t="s">
        <v>9</v>
      </c>
    </row>
    <row r="8" spans="1:8">
      <c r="A8" s="1" t="s">
        <v>10</v>
      </c>
      <c r="B8" s="2" t="s">
        <v>11</v>
      </c>
      <c r="C8" s="2" t="s">
        <v>12</v>
      </c>
      <c r="D8" t="s">
        <v>13</v>
      </c>
    </row>
    <row r="9" spans="1:8">
      <c r="A9" s="1" t="s">
        <v>14</v>
      </c>
      <c r="B9" s="2" t="s">
        <v>15</v>
      </c>
      <c r="C9" s="2" t="s">
        <v>16</v>
      </c>
      <c r="D9" t="s">
        <v>17</v>
      </c>
    </row>
    <row r="11" spans="1:8">
      <c r="A11" s="28" t="s">
        <v>18</v>
      </c>
      <c r="B11" s="28"/>
      <c r="C11" s="28"/>
      <c r="D11" s="28"/>
      <c r="E11" s="28"/>
      <c r="F11" s="28"/>
      <c r="G11" s="28"/>
      <c r="H11" s="28"/>
    </row>
    <row r="13" spans="1:8">
      <c r="A13" s="3" t="s">
        <v>19</v>
      </c>
      <c r="B13" s="3" t="s">
        <v>20</v>
      </c>
    </row>
    <row r="14" spans="1:8" ht="20">
      <c r="A14" t="s">
        <v>21</v>
      </c>
      <c r="B14" s="4">
        <f>COUNTA(Ubicaciones!$A$2:$A$501)</f>
        <v>72</v>
      </c>
    </row>
    <row r="15" spans="1:8" ht="20">
      <c r="A15" t="s">
        <v>22</v>
      </c>
      <c r="B15" s="4">
        <f>COUNTIF(Ubicaciones!$L$2:$L$501,"Sí")</f>
        <v>72</v>
      </c>
    </row>
    <row r="16" spans="1:8" ht="20">
      <c r="A16" t="s">
        <v>23</v>
      </c>
      <c r="B16" s="4">
        <f>COUNTA(Indicadores!$A$2:$A$501)</f>
        <v>72</v>
      </c>
    </row>
    <row r="18" spans="1:8">
      <c r="A18" s="29" t="s">
        <v>24</v>
      </c>
      <c r="B18" s="30"/>
      <c r="C18" s="30"/>
      <c r="D18" s="30"/>
      <c r="E18" s="30"/>
      <c r="F18" s="30"/>
      <c r="G18" s="30"/>
      <c r="H18" s="31"/>
    </row>
    <row r="19" spans="1:8">
      <c r="A19" s="32"/>
      <c r="B19" s="33"/>
      <c r="C19" s="33"/>
      <c r="D19" s="33"/>
      <c r="E19" s="33"/>
      <c r="F19" s="33"/>
      <c r="G19" s="33"/>
      <c r="H19" s="34"/>
    </row>
    <row r="20" spans="1:8">
      <c r="A20" s="35"/>
      <c r="B20" s="36"/>
      <c r="C20" s="36"/>
      <c r="D20" s="36"/>
      <c r="E20" s="36"/>
      <c r="F20" s="36"/>
      <c r="G20" s="36"/>
      <c r="H20" s="37"/>
    </row>
  </sheetData>
  <mergeCells count="4">
    <mergeCell ref="A1:H2"/>
    <mergeCell ref="A4:H4"/>
    <mergeCell ref="A11:H11"/>
    <mergeCell ref="A18:H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1"/>
  <sheetViews>
    <sheetView showGridLines="0" topLeftCell="B42" workbookViewId="0">
      <selection activeCell="D52" sqref="D52"/>
    </sheetView>
  </sheetViews>
  <sheetFormatPr baseColWidth="10" defaultColWidth="8.6640625" defaultRowHeight="14"/>
  <cols>
    <col min="1" max="1" width="12" customWidth="1"/>
    <col min="2" max="2" width="28" customWidth="1"/>
    <col min="3" max="3" width="15" customWidth="1"/>
    <col min="4" max="4" width="12.83203125" customWidth="1"/>
    <col min="5" max="5" width="25" customWidth="1"/>
    <col min="6" max="6" width="20" customWidth="1"/>
    <col min="7" max="7" width="8.5" customWidth="1"/>
    <col min="8" max="8" width="17.33203125" bestFit="1" customWidth="1"/>
    <col min="9" max="9" width="6.75" customWidth="1"/>
    <col min="10" max="10" width="7.6640625" customWidth="1"/>
    <col min="11" max="11" width="9.4140625" customWidth="1"/>
    <col min="12" max="12" width="10" customWidth="1"/>
  </cols>
  <sheetData>
    <row r="1" spans="1:12" ht="34" customHeight="1">
      <c r="A1" s="12" t="s">
        <v>25</v>
      </c>
      <c r="B1" s="13" t="s">
        <v>26</v>
      </c>
      <c r="C1" s="13" t="s">
        <v>27</v>
      </c>
      <c r="D1" s="13" t="s">
        <v>28</v>
      </c>
      <c r="E1" s="13" t="s">
        <v>29</v>
      </c>
      <c r="F1" s="13" t="s">
        <v>30</v>
      </c>
      <c r="G1" s="13" t="s">
        <v>31</v>
      </c>
      <c r="H1" s="13" t="s">
        <v>32</v>
      </c>
      <c r="I1" s="13" t="s">
        <v>33</v>
      </c>
      <c r="J1" s="13" t="s">
        <v>34</v>
      </c>
      <c r="K1" s="13" t="s">
        <v>35</v>
      </c>
      <c r="L1" s="14" t="s">
        <v>36</v>
      </c>
    </row>
    <row r="2" spans="1:12">
      <c r="A2" s="16" t="s">
        <v>37</v>
      </c>
      <c r="B2" s="17" t="s">
        <v>38</v>
      </c>
      <c r="C2" s="17" t="s">
        <v>39</v>
      </c>
      <c r="D2" s="39">
        <v>40528.75</v>
      </c>
      <c r="E2" s="17" t="s">
        <v>40</v>
      </c>
      <c r="F2" s="17" t="s">
        <v>41</v>
      </c>
      <c r="G2" s="17" t="s">
        <v>42</v>
      </c>
      <c r="H2" s="17" t="s">
        <v>43</v>
      </c>
      <c r="I2" s="17" t="s">
        <v>44</v>
      </c>
      <c r="J2" s="41">
        <v>19.628726749999998</v>
      </c>
      <c r="K2" s="41">
        <v>-99.124103759999997</v>
      </c>
      <c r="L2" s="18" t="s">
        <v>45</v>
      </c>
    </row>
    <row r="3" spans="1:12">
      <c r="A3" s="16" t="s">
        <v>46</v>
      </c>
      <c r="B3" s="17" t="s">
        <v>47</v>
      </c>
      <c r="C3" s="17" t="s">
        <v>39</v>
      </c>
      <c r="D3" s="39">
        <v>42257.708333333336</v>
      </c>
      <c r="E3" s="17" t="s">
        <v>40</v>
      </c>
      <c r="F3" s="17" t="s">
        <v>41</v>
      </c>
      <c r="G3" s="17" t="s">
        <v>48</v>
      </c>
      <c r="H3" s="17" t="s">
        <v>49</v>
      </c>
      <c r="I3" s="17" t="s">
        <v>50</v>
      </c>
      <c r="J3" s="41">
        <v>19.632055749999999</v>
      </c>
      <c r="K3" s="41">
        <v>-99.125780599999999</v>
      </c>
      <c r="L3" s="18" t="s">
        <v>45</v>
      </c>
    </row>
    <row r="4" spans="1:12">
      <c r="A4" s="16" t="s">
        <v>51</v>
      </c>
      <c r="B4" s="17" t="s">
        <v>52</v>
      </c>
      <c r="C4" s="17" t="s">
        <v>39</v>
      </c>
      <c r="D4" s="39">
        <v>46007.75</v>
      </c>
      <c r="E4" s="17" t="s">
        <v>40</v>
      </c>
      <c r="F4" s="17" t="s">
        <v>41</v>
      </c>
      <c r="G4" s="17" t="s">
        <v>48</v>
      </c>
      <c r="H4" s="17" t="s">
        <v>49</v>
      </c>
      <c r="I4" s="17" t="s">
        <v>50</v>
      </c>
      <c r="J4" s="41">
        <v>19.63207203</v>
      </c>
      <c r="K4" s="41">
        <v>-99.124418730000002</v>
      </c>
      <c r="L4" s="18" t="s">
        <v>45</v>
      </c>
    </row>
    <row r="5" spans="1:12">
      <c r="A5" s="16" t="s">
        <v>53</v>
      </c>
      <c r="B5" s="17" t="s">
        <v>54</v>
      </c>
      <c r="C5" s="17" t="s">
        <v>39</v>
      </c>
      <c r="D5" s="39">
        <v>39688.708333333336</v>
      </c>
      <c r="E5" s="17" t="s">
        <v>55</v>
      </c>
      <c r="F5" s="17" t="s">
        <v>41</v>
      </c>
      <c r="G5" s="17" t="s">
        <v>42</v>
      </c>
      <c r="H5" s="17" t="s">
        <v>43</v>
      </c>
      <c r="I5" s="17" t="s">
        <v>44</v>
      </c>
      <c r="J5" s="41">
        <v>19.64697761</v>
      </c>
      <c r="K5" s="41">
        <v>-99.2071519</v>
      </c>
      <c r="L5" s="18" t="s">
        <v>45</v>
      </c>
    </row>
    <row r="6" spans="1:12">
      <c r="A6" s="16" t="s">
        <v>56</v>
      </c>
      <c r="B6" s="17" t="s">
        <v>57</v>
      </c>
      <c r="C6" s="17" t="s">
        <v>39</v>
      </c>
      <c r="D6" s="39">
        <v>40145.75</v>
      </c>
      <c r="E6" s="17" t="s">
        <v>55</v>
      </c>
      <c r="F6" s="17" t="s">
        <v>41</v>
      </c>
      <c r="G6" s="17" t="s">
        <v>48</v>
      </c>
      <c r="H6" s="17" t="s">
        <v>49</v>
      </c>
      <c r="I6" s="17" t="s">
        <v>44</v>
      </c>
      <c r="J6" s="41">
        <v>19.65740984</v>
      </c>
      <c r="K6" s="41">
        <v>-99.21026354</v>
      </c>
      <c r="L6" s="18" t="s">
        <v>45</v>
      </c>
    </row>
    <row r="7" spans="1:12">
      <c r="A7" s="16" t="s">
        <v>58</v>
      </c>
      <c r="B7" s="17" t="s">
        <v>59</v>
      </c>
      <c r="C7" s="17" t="s">
        <v>39</v>
      </c>
      <c r="D7" s="39">
        <v>41544.708333333336</v>
      </c>
      <c r="E7" s="17" t="s">
        <v>60</v>
      </c>
      <c r="F7" s="17" t="s">
        <v>41</v>
      </c>
      <c r="G7" s="17" t="s">
        <v>42</v>
      </c>
      <c r="H7" s="17" t="s">
        <v>43</v>
      </c>
      <c r="I7" s="17" t="s">
        <v>44</v>
      </c>
      <c r="J7" s="41">
        <v>19.60630467</v>
      </c>
      <c r="K7" s="41">
        <v>-99.045967390000001</v>
      </c>
      <c r="L7" s="18" t="s">
        <v>45</v>
      </c>
    </row>
    <row r="8" spans="1:12">
      <c r="A8" s="16" t="s">
        <v>61</v>
      </c>
      <c r="B8" s="17" t="s">
        <v>62</v>
      </c>
      <c r="C8" s="17" t="s">
        <v>39</v>
      </c>
      <c r="D8" s="39">
        <v>41081.708333333336</v>
      </c>
      <c r="E8" s="17" t="s">
        <v>40</v>
      </c>
      <c r="F8" s="17" t="s">
        <v>41</v>
      </c>
      <c r="G8" s="17" t="s">
        <v>48</v>
      </c>
      <c r="H8" s="17" t="s">
        <v>43</v>
      </c>
      <c r="I8" s="17" t="s">
        <v>44</v>
      </c>
      <c r="J8" s="41">
        <v>19.636402279999999</v>
      </c>
      <c r="K8" s="41">
        <v>-99.096088390000006</v>
      </c>
      <c r="L8" s="18" t="s">
        <v>45</v>
      </c>
    </row>
    <row r="9" spans="1:12">
      <c r="A9" s="16" t="s">
        <v>63</v>
      </c>
      <c r="B9" s="17" t="s">
        <v>64</v>
      </c>
      <c r="C9" s="17" t="s">
        <v>39</v>
      </c>
      <c r="D9" s="39">
        <v>39718.708333333336</v>
      </c>
      <c r="E9" s="17" t="s">
        <v>55</v>
      </c>
      <c r="F9" s="17" t="s">
        <v>41</v>
      </c>
      <c r="G9" s="17" t="s">
        <v>42</v>
      </c>
      <c r="H9" s="17" t="s">
        <v>43</v>
      </c>
      <c r="I9" s="17" t="s">
        <v>44</v>
      </c>
      <c r="J9" s="41">
        <v>19.67090726</v>
      </c>
      <c r="K9" s="41">
        <v>-99.203155960000004</v>
      </c>
      <c r="L9" s="18" t="s">
        <v>45</v>
      </c>
    </row>
    <row r="10" spans="1:12">
      <c r="A10" s="16" t="s">
        <v>65</v>
      </c>
      <c r="B10" s="17" t="s">
        <v>66</v>
      </c>
      <c r="C10" s="17" t="s">
        <v>39</v>
      </c>
      <c r="D10" s="39">
        <v>43530.75</v>
      </c>
      <c r="E10" s="17" t="s">
        <v>55</v>
      </c>
      <c r="F10" s="17" t="s">
        <v>41</v>
      </c>
      <c r="G10" s="17" t="s">
        <v>42</v>
      </c>
      <c r="H10" s="17" t="s">
        <v>43</v>
      </c>
      <c r="I10" s="17" t="s">
        <v>44</v>
      </c>
      <c r="J10" s="41">
        <v>19.688366850000001</v>
      </c>
      <c r="K10" s="41">
        <v>-99.214006359999999</v>
      </c>
      <c r="L10" s="18" t="s">
        <v>45</v>
      </c>
    </row>
    <row r="11" spans="1:12">
      <c r="A11" s="16" t="s">
        <v>67</v>
      </c>
      <c r="B11" s="17" t="s">
        <v>68</v>
      </c>
      <c r="C11" s="17" t="s">
        <v>69</v>
      </c>
      <c r="D11" s="39">
        <v>38854.708333333336</v>
      </c>
      <c r="E11" s="17" t="s">
        <v>70</v>
      </c>
      <c r="F11" s="17" t="s">
        <v>41</v>
      </c>
      <c r="G11" s="17" t="s">
        <v>42</v>
      </c>
      <c r="H11" s="17" t="s">
        <v>71</v>
      </c>
      <c r="I11" s="17" t="s">
        <v>50</v>
      </c>
      <c r="J11" s="41">
        <v>19.559956939999999</v>
      </c>
      <c r="K11" s="41">
        <v>-99.220141760000004</v>
      </c>
      <c r="L11" s="18" t="s">
        <v>45</v>
      </c>
    </row>
    <row r="12" spans="1:12">
      <c r="A12" s="16" t="s">
        <v>72</v>
      </c>
      <c r="B12" s="17" t="s">
        <v>73</v>
      </c>
      <c r="C12" s="17" t="s">
        <v>39</v>
      </c>
      <c r="D12" s="39">
        <v>44182.75</v>
      </c>
      <c r="E12" s="17" t="s">
        <v>55</v>
      </c>
      <c r="F12" s="17" t="s">
        <v>41</v>
      </c>
      <c r="G12" s="17" t="s">
        <v>42</v>
      </c>
      <c r="H12" s="17" t="s">
        <v>49</v>
      </c>
      <c r="I12" s="17" t="s">
        <v>50</v>
      </c>
      <c r="J12" s="41">
        <v>19.60223727</v>
      </c>
      <c r="K12" s="41">
        <v>-99.190969600000003</v>
      </c>
      <c r="L12" s="18" t="s">
        <v>45</v>
      </c>
    </row>
    <row r="13" spans="1:12">
      <c r="A13" s="16" t="s">
        <v>74</v>
      </c>
      <c r="B13" s="17" t="s">
        <v>75</v>
      </c>
      <c r="C13" s="17" t="s">
        <v>69</v>
      </c>
      <c r="D13" s="39">
        <v>39209.708333333336</v>
      </c>
      <c r="E13" s="17" t="s">
        <v>70</v>
      </c>
      <c r="F13" s="17" t="s">
        <v>41</v>
      </c>
      <c r="G13" s="17" t="s">
        <v>42</v>
      </c>
      <c r="H13" s="17" t="s">
        <v>76</v>
      </c>
      <c r="I13" s="17" t="s">
        <v>50</v>
      </c>
      <c r="J13" s="41">
        <v>19.597959830000001</v>
      </c>
      <c r="K13" s="41">
        <v>-99.226455689999995</v>
      </c>
      <c r="L13" s="18" t="s">
        <v>45</v>
      </c>
    </row>
    <row r="14" spans="1:12">
      <c r="A14" s="16" t="s">
        <v>77</v>
      </c>
      <c r="B14" s="17" t="s">
        <v>78</v>
      </c>
      <c r="C14" s="17" t="s">
        <v>69</v>
      </c>
      <c r="D14" s="39">
        <v>42594.708333333336</v>
      </c>
      <c r="E14" s="17" t="s">
        <v>70</v>
      </c>
      <c r="F14" s="17" t="s">
        <v>41</v>
      </c>
      <c r="G14" s="17" t="s">
        <v>42</v>
      </c>
      <c r="H14" s="17" t="s">
        <v>71</v>
      </c>
      <c r="I14" s="17" t="s">
        <v>50</v>
      </c>
      <c r="J14" s="41">
        <v>19.55998726</v>
      </c>
      <c r="K14" s="41">
        <v>-99.220173950000003</v>
      </c>
      <c r="L14" s="18" t="s">
        <v>45</v>
      </c>
    </row>
    <row r="15" spans="1:12">
      <c r="A15" s="16" t="s">
        <v>79</v>
      </c>
      <c r="B15" s="17" t="s">
        <v>80</v>
      </c>
      <c r="C15" s="17" t="s">
        <v>69</v>
      </c>
      <c r="D15" s="39">
        <v>42632.708333333336</v>
      </c>
      <c r="E15" s="17" t="s">
        <v>81</v>
      </c>
      <c r="F15" s="17" t="s">
        <v>41</v>
      </c>
      <c r="G15" s="17" t="s">
        <v>42</v>
      </c>
      <c r="H15" s="17" t="s">
        <v>49</v>
      </c>
      <c r="I15" s="17" t="s">
        <v>50</v>
      </c>
      <c r="J15" s="41">
        <v>19.526064569999999</v>
      </c>
      <c r="K15" s="41">
        <v>-99.228119550000002</v>
      </c>
      <c r="L15" s="18" t="s">
        <v>45</v>
      </c>
    </row>
    <row r="16" spans="1:12">
      <c r="A16" s="16" t="s">
        <v>82</v>
      </c>
      <c r="B16" s="17" t="s">
        <v>83</v>
      </c>
      <c r="C16" s="17" t="s">
        <v>69</v>
      </c>
      <c r="D16" s="39">
        <v>43442.75</v>
      </c>
      <c r="E16" s="17" t="s">
        <v>81</v>
      </c>
      <c r="F16" s="17" t="s">
        <v>41</v>
      </c>
      <c r="G16" s="17" t="s">
        <v>48</v>
      </c>
      <c r="H16" s="17" t="s">
        <v>49</v>
      </c>
      <c r="I16" s="17" t="s">
        <v>50</v>
      </c>
      <c r="J16" s="41">
        <v>19.52497104</v>
      </c>
      <c r="K16" s="41">
        <v>-99.229110250000005</v>
      </c>
      <c r="L16" s="18" t="s">
        <v>45</v>
      </c>
    </row>
    <row r="17" spans="1:12">
      <c r="A17" s="16" t="s">
        <v>84</v>
      </c>
      <c r="B17" s="17" t="s">
        <v>85</v>
      </c>
      <c r="C17" s="17" t="s">
        <v>69</v>
      </c>
      <c r="D17" s="39">
        <v>43235.708333333336</v>
      </c>
      <c r="E17" s="17" t="s">
        <v>81</v>
      </c>
      <c r="F17" s="17" t="s">
        <v>41</v>
      </c>
      <c r="G17" s="17" t="s">
        <v>42</v>
      </c>
      <c r="H17" s="17" t="s">
        <v>49</v>
      </c>
      <c r="I17" s="17" t="s">
        <v>50</v>
      </c>
      <c r="J17" s="41">
        <v>19.540105059999998</v>
      </c>
      <c r="K17" s="41">
        <v>-99.215410730000002</v>
      </c>
      <c r="L17" s="18" t="s">
        <v>45</v>
      </c>
    </row>
    <row r="18" spans="1:12">
      <c r="A18" s="16" t="s">
        <v>86</v>
      </c>
      <c r="B18" s="17" t="s">
        <v>87</v>
      </c>
      <c r="C18" s="17" t="s">
        <v>69</v>
      </c>
      <c r="D18" s="39">
        <v>38330.75</v>
      </c>
      <c r="E18" s="17" t="s">
        <v>55</v>
      </c>
      <c r="F18" s="17" t="s">
        <v>41</v>
      </c>
      <c r="G18" s="17" t="s">
        <v>42</v>
      </c>
      <c r="H18" s="17" t="s">
        <v>49</v>
      </c>
      <c r="I18" s="17" t="s">
        <v>44</v>
      </c>
      <c r="J18" s="41">
        <v>19.602327599999999</v>
      </c>
      <c r="K18" s="41">
        <v>-99.191516960000001</v>
      </c>
      <c r="L18" s="18" t="s">
        <v>45</v>
      </c>
    </row>
    <row r="19" spans="1:12">
      <c r="A19" s="16" t="s">
        <v>88</v>
      </c>
      <c r="B19" s="17" t="s">
        <v>89</v>
      </c>
      <c r="C19" s="17" t="s">
        <v>69</v>
      </c>
      <c r="D19" s="39">
        <v>41144.708333333336</v>
      </c>
      <c r="E19" s="17" t="s">
        <v>81</v>
      </c>
      <c r="F19" s="17" t="s">
        <v>41</v>
      </c>
      <c r="G19" s="17" t="s">
        <v>42</v>
      </c>
      <c r="H19" s="17" t="s">
        <v>71</v>
      </c>
      <c r="I19" s="17" t="s">
        <v>44</v>
      </c>
      <c r="J19" s="41">
        <v>19.528121039999998</v>
      </c>
      <c r="K19" s="41">
        <v>-99.228187090000006</v>
      </c>
      <c r="L19" s="18" t="s">
        <v>45</v>
      </c>
    </row>
    <row r="20" spans="1:12">
      <c r="A20" s="16" t="s">
        <v>90</v>
      </c>
      <c r="B20" s="17" t="s">
        <v>91</v>
      </c>
      <c r="C20" s="17" t="s">
        <v>69</v>
      </c>
      <c r="D20" s="39">
        <v>40896.75</v>
      </c>
      <c r="E20" s="17" t="s">
        <v>81</v>
      </c>
      <c r="F20" s="17" t="s">
        <v>41</v>
      </c>
      <c r="G20" s="17" t="s">
        <v>42</v>
      </c>
      <c r="H20" s="17" t="s">
        <v>92</v>
      </c>
      <c r="I20" s="17" t="s">
        <v>44</v>
      </c>
      <c r="J20" s="41">
        <v>19.538586460000001</v>
      </c>
      <c r="K20" s="41">
        <v>-99.19931536</v>
      </c>
      <c r="L20" s="18" t="s">
        <v>45</v>
      </c>
    </row>
    <row r="21" spans="1:12">
      <c r="A21" s="16" t="s">
        <v>93</v>
      </c>
      <c r="B21" s="17" t="s">
        <v>94</v>
      </c>
      <c r="C21" s="17" t="s">
        <v>69</v>
      </c>
      <c r="D21" s="39">
        <v>42255.708333333336</v>
      </c>
      <c r="E21" s="17" t="s">
        <v>81</v>
      </c>
      <c r="F21" s="17" t="s">
        <v>41</v>
      </c>
      <c r="G21" s="17" t="s">
        <v>42</v>
      </c>
      <c r="H21" s="17" t="s">
        <v>49</v>
      </c>
      <c r="I21" s="17" t="s">
        <v>50</v>
      </c>
      <c r="J21" s="41">
        <v>19.538209689999999</v>
      </c>
      <c r="K21" s="41">
        <v>-99.206313620000003</v>
      </c>
      <c r="L21" s="18" t="s">
        <v>45</v>
      </c>
    </row>
    <row r="22" spans="1:12">
      <c r="A22" s="16" t="s">
        <v>95</v>
      </c>
      <c r="B22" s="17" t="s">
        <v>96</v>
      </c>
      <c r="C22" s="17" t="s">
        <v>69</v>
      </c>
      <c r="D22" s="39">
        <v>40265.75</v>
      </c>
      <c r="E22" s="17" t="s">
        <v>81</v>
      </c>
      <c r="F22" s="17" t="s">
        <v>41</v>
      </c>
      <c r="G22" s="17" t="s">
        <v>42</v>
      </c>
      <c r="H22" s="17" t="s">
        <v>97</v>
      </c>
      <c r="I22" s="17" t="s">
        <v>44</v>
      </c>
      <c r="J22" s="41">
        <v>19.547450959999999</v>
      </c>
      <c r="K22" s="41">
        <v>-99.210344629999994</v>
      </c>
      <c r="L22" s="18" t="s">
        <v>45</v>
      </c>
    </row>
    <row r="23" spans="1:12">
      <c r="A23" s="16" t="s">
        <v>98</v>
      </c>
      <c r="B23" s="17" t="s">
        <v>99</v>
      </c>
      <c r="C23" s="17" t="s">
        <v>69</v>
      </c>
      <c r="D23" s="39">
        <v>42721.75</v>
      </c>
      <c r="E23" s="17" t="s">
        <v>70</v>
      </c>
      <c r="F23" s="17" t="s">
        <v>41</v>
      </c>
      <c r="G23" s="17" t="s">
        <v>42</v>
      </c>
      <c r="H23" s="17" t="s">
        <v>43</v>
      </c>
      <c r="I23" s="17" t="s">
        <v>44</v>
      </c>
      <c r="J23" s="41">
        <v>19.60704127</v>
      </c>
      <c r="K23" s="41">
        <v>-99.229306980000004</v>
      </c>
      <c r="L23" s="18" t="s">
        <v>45</v>
      </c>
    </row>
    <row r="24" spans="1:12">
      <c r="A24" s="16" t="s">
        <v>100</v>
      </c>
      <c r="B24" s="17" t="s">
        <v>101</v>
      </c>
      <c r="C24" s="17" t="s">
        <v>102</v>
      </c>
      <c r="D24" s="39">
        <v>46047.75</v>
      </c>
      <c r="E24" s="17" t="s">
        <v>103</v>
      </c>
      <c r="F24" s="17" t="s">
        <v>104</v>
      </c>
      <c r="G24" s="17" t="s">
        <v>48</v>
      </c>
      <c r="H24" s="17" t="s">
        <v>43</v>
      </c>
      <c r="I24" s="17" t="s">
        <v>44</v>
      </c>
      <c r="J24" s="41">
        <v>19.51739925</v>
      </c>
      <c r="K24" s="41">
        <v>-99.142724279999996</v>
      </c>
      <c r="L24" s="18" t="s">
        <v>45</v>
      </c>
    </row>
    <row r="25" spans="1:12">
      <c r="A25" s="16" t="s">
        <v>105</v>
      </c>
      <c r="B25" s="17" t="s">
        <v>106</v>
      </c>
      <c r="C25" s="17" t="s">
        <v>102</v>
      </c>
      <c r="D25" s="39">
        <v>41649.75</v>
      </c>
      <c r="E25" s="17" t="s">
        <v>107</v>
      </c>
      <c r="F25" s="17" t="s">
        <v>104</v>
      </c>
      <c r="G25" s="17" t="s">
        <v>108</v>
      </c>
      <c r="H25" s="17" t="s">
        <v>71</v>
      </c>
      <c r="I25" s="17" t="s">
        <v>44</v>
      </c>
      <c r="J25" s="41">
        <v>19.471809929999999</v>
      </c>
      <c r="K25" s="41">
        <v>-99.180042200000003</v>
      </c>
      <c r="L25" s="18" t="s">
        <v>45</v>
      </c>
    </row>
    <row r="26" spans="1:12">
      <c r="A26" s="16" t="s">
        <v>109</v>
      </c>
      <c r="B26" s="17" t="s">
        <v>110</v>
      </c>
      <c r="C26" s="17" t="s">
        <v>102</v>
      </c>
      <c r="D26" s="39">
        <v>43433.75</v>
      </c>
      <c r="E26" s="17" t="s">
        <v>107</v>
      </c>
      <c r="F26" s="17" t="s">
        <v>104</v>
      </c>
      <c r="G26" s="17" t="s">
        <v>42</v>
      </c>
      <c r="H26" s="17" t="s">
        <v>97</v>
      </c>
      <c r="I26" s="17" t="s">
        <v>44</v>
      </c>
      <c r="J26" s="41">
        <v>19.47849506</v>
      </c>
      <c r="K26" s="41">
        <v>-99.188500730000001</v>
      </c>
      <c r="L26" s="18" t="s">
        <v>45</v>
      </c>
    </row>
    <row r="27" spans="1:12">
      <c r="A27" s="16" t="s">
        <v>111</v>
      </c>
      <c r="B27" s="17" t="s">
        <v>112</v>
      </c>
      <c r="C27" s="17" t="s">
        <v>102</v>
      </c>
      <c r="D27" s="39">
        <v>39039.75</v>
      </c>
      <c r="E27" s="17" t="s">
        <v>103</v>
      </c>
      <c r="F27" s="17" t="s">
        <v>104</v>
      </c>
      <c r="G27" s="17" t="s">
        <v>42</v>
      </c>
      <c r="H27" s="17" t="s">
        <v>49</v>
      </c>
      <c r="I27" s="17" t="s">
        <v>44</v>
      </c>
      <c r="J27" s="41">
        <v>19.486474699999999</v>
      </c>
      <c r="K27" s="41">
        <v>-99.130670499999994</v>
      </c>
      <c r="L27" s="18" t="s">
        <v>45</v>
      </c>
    </row>
    <row r="28" spans="1:12">
      <c r="A28" s="16" t="s">
        <v>113</v>
      </c>
      <c r="B28" s="17" t="s">
        <v>114</v>
      </c>
      <c r="C28" s="17" t="s">
        <v>102</v>
      </c>
      <c r="D28" s="39">
        <v>39042.75</v>
      </c>
      <c r="E28" s="17" t="s">
        <v>103</v>
      </c>
      <c r="F28" s="17" t="s">
        <v>104</v>
      </c>
      <c r="G28" s="17" t="s">
        <v>48</v>
      </c>
      <c r="H28" s="17" t="s">
        <v>49</v>
      </c>
      <c r="I28" s="17" t="s">
        <v>44</v>
      </c>
      <c r="J28" s="41">
        <v>19.486419940000001</v>
      </c>
      <c r="K28" s="41">
        <v>-99.131457249999997</v>
      </c>
      <c r="L28" s="18" t="s">
        <v>45</v>
      </c>
    </row>
    <row r="29" spans="1:12">
      <c r="A29" s="16" t="s">
        <v>115</v>
      </c>
      <c r="B29" s="17" t="s">
        <v>116</v>
      </c>
      <c r="C29" s="17" t="s">
        <v>102</v>
      </c>
      <c r="D29" s="39">
        <v>40169.75</v>
      </c>
      <c r="E29" s="17" t="s">
        <v>103</v>
      </c>
      <c r="F29" s="17" t="s">
        <v>104</v>
      </c>
      <c r="G29" s="17" t="s">
        <v>108</v>
      </c>
      <c r="H29" s="17" t="s">
        <v>71</v>
      </c>
      <c r="I29" s="17" t="s">
        <v>44</v>
      </c>
      <c r="J29" s="41">
        <v>19.489820099999999</v>
      </c>
      <c r="K29" s="41">
        <v>-99.130272919999996</v>
      </c>
      <c r="L29" s="18" t="s">
        <v>45</v>
      </c>
    </row>
    <row r="30" spans="1:12">
      <c r="A30" s="16" t="s">
        <v>117</v>
      </c>
      <c r="B30" s="17" t="s">
        <v>118</v>
      </c>
      <c r="C30" s="17" t="s">
        <v>102</v>
      </c>
      <c r="D30" s="39">
        <v>45761.75</v>
      </c>
      <c r="E30" s="17" t="s">
        <v>103</v>
      </c>
      <c r="F30" s="17" t="s">
        <v>104</v>
      </c>
      <c r="G30" s="17" t="s">
        <v>42</v>
      </c>
      <c r="H30" s="17" t="s">
        <v>119</v>
      </c>
      <c r="I30" s="17" t="s">
        <v>44</v>
      </c>
      <c r="J30" s="41">
        <v>19.48767471</v>
      </c>
      <c r="K30" s="41">
        <v>-99.124502699999994</v>
      </c>
      <c r="L30" s="18" t="s">
        <v>45</v>
      </c>
    </row>
    <row r="31" spans="1:12">
      <c r="A31" s="16" t="s">
        <v>120</v>
      </c>
      <c r="B31" s="17" t="s">
        <v>121</v>
      </c>
      <c r="C31" s="17" t="s">
        <v>102</v>
      </c>
      <c r="D31" s="39">
        <v>46007.75</v>
      </c>
      <c r="E31" s="17" t="s">
        <v>107</v>
      </c>
      <c r="F31" s="17" t="s">
        <v>104</v>
      </c>
      <c r="G31" s="17" t="s">
        <v>48</v>
      </c>
      <c r="H31" s="17" t="s">
        <v>43</v>
      </c>
      <c r="I31" s="17" t="s">
        <v>44</v>
      </c>
      <c r="J31" s="41">
        <v>19.46900437</v>
      </c>
      <c r="K31" s="41">
        <v>-99.159492599999993</v>
      </c>
      <c r="L31" s="18" t="s">
        <v>45</v>
      </c>
    </row>
    <row r="32" spans="1:12">
      <c r="A32" s="16" t="s">
        <v>122</v>
      </c>
      <c r="B32" s="17" t="s">
        <v>123</v>
      </c>
      <c r="C32" s="17" t="s">
        <v>102</v>
      </c>
      <c r="D32" s="39">
        <v>41905.708333333336</v>
      </c>
      <c r="E32" s="17" t="s">
        <v>107</v>
      </c>
      <c r="F32" s="17" t="s">
        <v>104</v>
      </c>
      <c r="G32" s="17" t="s">
        <v>42</v>
      </c>
      <c r="H32" s="17" t="s">
        <v>97</v>
      </c>
      <c r="I32" s="17" t="s">
        <v>44</v>
      </c>
      <c r="J32" s="41">
        <v>19.463724790000001</v>
      </c>
      <c r="K32" s="41">
        <v>-99.182123860000004</v>
      </c>
      <c r="L32" s="18" t="s">
        <v>45</v>
      </c>
    </row>
    <row r="33" spans="1:12">
      <c r="A33" s="16" t="s">
        <v>124</v>
      </c>
      <c r="B33" s="17" t="s">
        <v>125</v>
      </c>
      <c r="C33" s="17" t="s">
        <v>102</v>
      </c>
      <c r="D33" s="39">
        <v>42718.75</v>
      </c>
      <c r="E33" s="17" t="s">
        <v>107</v>
      </c>
      <c r="F33" s="17" t="s">
        <v>104</v>
      </c>
      <c r="G33" s="17" t="s">
        <v>42</v>
      </c>
      <c r="H33" s="17" t="s">
        <v>97</v>
      </c>
      <c r="I33" s="17" t="s">
        <v>50</v>
      </c>
      <c r="J33" s="41">
        <v>19.468114709999998</v>
      </c>
      <c r="K33" s="41">
        <v>-99.144670730000001</v>
      </c>
      <c r="L33" s="18" t="s">
        <v>45</v>
      </c>
    </row>
    <row r="34" spans="1:12">
      <c r="A34" s="16" t="s">
        <v>126</v>
      </c>
      <c r="B34" s="17" t="s">
        <v>127</v>
      </c>
      <c r="C34" s="17" t="s">
        <v>136</v>
      </c>
      <c r="D34" s="39">
        <v>42821.75</v>
      </c>
      <c r="E34" s="17" t="s">
        <v>103</v>
      </c>
      <c r="F34" s="17" t="s">
        <v>104</v>
      </c>
      <c r="G34" s="17" t="s">
        <v>42</v>
      </c>
      <c r="H34" s="17" t="s">
        <v>43</v>
      </c>
      <c r="I34" s="17" t="s">
        <v>50</v>
      </c>
      <c r="J34" s="41">
        <v>19.483541169999999</v>
      </c>
      <c r="K34" s="41">
        <v>-99.133278919999995</v>
      </c>
      <c r="L34" s="18" t="s">
        <v>45</v>
      </c>
    </row>
    <row r="35" spans="1:12">
      <c r="A35" s="16" t="s">
        <v>128</v>
      </c>
      <c r="B35" s="17" t="s">
        <v>129</v>
      </c>
      <c r="C35" s="17" t="s">
        <v>102</v>
      </c>
      <c r="D35" s="39">
        <v>45655.75</v>
      </c>
      <c r="E35" s="17" t="s">
        <v>103</v>
      </c>
      <c r="F35" s="17" t="s">
        <v>104</v>
      </c>
      <c r="G35" s="17" t="s">
        <v>42</v>
      </c>
      <c r="H35" s="17" t="s">
        <v>43</v>
      </c>
      <c r="I35" s="17" t="s">
        <v>44</v>
      </c>
      <c r="J35" s="41">
        <v>19.501613639999999</v>
      </c>
      <c r="K35" s="41">
        <v>-99.121253060000001</v>
      </c>
      <c r="L35" s="18" t="s">
        <v>45</v>
      </c>
    </row>
    <row r="36" spans="1:12">
      <c r="A36" s="16" t="s">
        <v>130</v>
      </c>
      <c r="B36" s="17" t="s">
        <v>131</v>
      </c>
      <c r="C36" s="17" t="s">
        <v>102</v>
      </c>
      <c r="D36" s="39">
        <v>40636.708333333336</v>
      </c>
      <c r="E36" s="17" t="s">
        <v>103</v>
      </c>
      <c r="F36" s="17" t="s">
        <v>104</v>
      </c>
      <c r="G36" s="17" t="s">
        <v>42</v>
      </c>
      <c r="H36" s="17" t="s">
        <v>43</v>
      </c>
      <c r="I36" s="17" t="s">
        <v>44</v>
      </c>
      <c r="J36" s="41">
        <v>19.506476169999999</v>
      </c>
      <c r="K36" s="41">
        <v>-99.144157199999995</v>
      </c>
      <c r="L36" s="18" t="s">
        <v>45</v>
      </c>
    </row>
    <row r="37" spans="1:12">
      <c r="A37" s="16" t="s">
        <v>132</v>
      </c>
      <c r="B37" s="17" t="s">
        <v>133</v>
      </c>
      <c r="C37" s="17" t="s">
        <v>102</v>
      </c>
      <c r="D37" s="39">
        <v>42545.708333333336</v>
      </c>
      <c r="E37" s="17" t="s">
        <v>107</v>
      </c>
      <c r="F37" s="17" t="s">
        <v>104</v>
      </c>
      <c r="G37" s="17" t="s">
        <v>42</v>
      </c>
      <c r="H37" s="17" t="s">
        <v>49</v>
      </c>
      <c r="I37" s="17" t="s">
        <v>50</v>
      </c>
      <c r="J37" s="41">
        <v>19.487252869999999</v>
      </c>
      <c r="K37" s="41">
        <v>-99.151682030000003</v>
      </c>
      <c r="L37" s="18" t="s">
        <v>45</v>
      </c>
    </row>
    <row r="38" spans="1:12">
      <c r="A38" s="16" t="s">
        <v>134</v>
      </c>
      <c r="B38" s="17" t="s">
        <v>135</v>
      </c>
      <c r="C38" s="17" t="s">
        <v>136</v>
      </c>
      <c r="D38" s="39">
        <v>44833.708333333336</v>
      </c>
      <c r="E38" s="17" t="s">
        <v>137</v>
      </c>
      <c r="F38" s="17" t="s">
        <v>104</v>
      </c>
      <c r="G38" s="17" t="s">
        <v>108</v>
      </c>
      <c r="H38" s="17" t="s">
        <v>138</v>
      </c>
      <c r="I38" s="17" t="s">
        <v>44</v>
      </c>
      <c r="J38" s="41">
        <v>19.424687800000001</v>
      </c>
      <c r="K38" s="41">
        <v>-99.093290760000002</v>
      </c>
      <c r="L38" s="18" t="s">
        <v>45</v>
      </c>
    </row>
    <row r="39" spans="1:12">
      <c r="A39" s="16" t="s">
        <v>139</v>
      </c>
      <c r="B39" s="17" t="s">
        <v>140</v>
      </c>
      <c r="C39" s="17" t="s">
        <v>136</v>
      </c>
      <c r="D39" s="39">
        <v>41689.75</v>
      </c>
      <c r="E39" s="17" t="s">
        <v>103</v>
      </c>
      <c r="F39" s="17" t="s">
        <v>104</v>
      </c>
      <c r="G39" s="17" t="s">
        <v>42</v>
      </c>
      <c r="H39" s="17" t="s">
        <v>97</v>
      </c>
      <c r="I39" s="17" t="s">
        <v>44</v>
      </c>
      <c r="J39" s="41">
        <v>19.465600930000001</v>
      </c>
      <c r="K39" s="41">
        <v>-99.08451316</v>
      </c>
      <c r="L39" s="18" t="s">
        <v>45</v>
      </c>
    </row>
    <row r="40" spans="1:12">
      <c r="A40" s="16" t="s">
        <v>141</v>
      </c>
      <c r="B40" s="17" t="s">
        <v>142</v>
      </c>
      <c r="C40" s="17" t="s">
        <v>136</v>
      </c>
      <c r="D40" s="39">
        <v>40884.75</v>
      </c>
      <c r="E40" s="17" t="s">
        <v>103</v>
      </c>
      <c r="F40" s="17" t="s">
        <v>104</v>
      </c>
      <c r="G40" s="17" t="s">
        <v>42</v>
      </c>
      <c r="H40" s="17" t="s">
        <v>43</v>
      </c>
      <c r="I40" s="17" t="s">
        <v>50</v>
      </c>
      <c r="J40" s="41">
        <v>19.479587330000001</v>
      </c>
      <c r="K40" s="41">
        <v>-99.096048710000005</v>
      </c>
      <c r="L40" s="18" t="s">
        <v>45</v>
      </c>
    </row>
    <row r="41" spans="1:12">
      <c r="A41" s="16" t="s">
        <v>143</v>
      </c>
      <c r="B41" s="17" t="s">
        <v>144</v>
      </c>
      <c r="C41" s="17" t="s">
        <v>136</v>
      </c>
      <c r="D41" s="39">
        <v>44553.75</v>
      </c>
      <c r="E41" s="17" t="s">
        <v>137</v>
      </c>
      <c r="F41" s="17" t="s">
        <v>104</v>
      </c>
      <c r="G41" s="17" t="s">
        <v>42</v>
      </c>
      <c r="H41" s="17" t="s">
        <v>49</v>
      </c>
      <c r="I41" s="17" t="s">
        <v>50</v>
      </c>
      <c r="J41" s="41">
        <v>19.440131659999999</v>
      </c>
      <c r="K41" s="41">
        <v>-99.094148700000005</v>
      </c>
      <c r="L41" s="18" t="s">
        <v>45</v>
      </c>
    </row>
    <row r="42" spans="1:12">
      <c r="A42" s="16" t="s">
        <v>145</v>
      </c>
      <c r="B42" s="17" t="s">
        <v>146</v>
      </c>
      <c r="C42" s="17" t="s">
        <v>136</v>
      </c>
      <c r="D42" s="39">
        <v>45230.75</v>
      </c>
      <c r="E42" s="17" t="s">
        <v>137</v>
      </c>
      <c r="F42" s="17" t="s">
        <v>104</v>
      </c>
      <c r="G42" s="17" t="s">
        <v>42</v>
      </c>
      <c r="H42" s="17" t="s">
        <v>49</v>
      </c>
      <c r="I42" s="17" t="s">
        <v>50</v>
      </c>
      <c r="J42" s="41">
        <v>19.43896908</v>
      </c>
      <c r="K42" s="41">
        <v>-99.094598110000007</v>
      </c>
      <c r="L42" s="18" t="s">
        <v>45</v>
      </c>
    </row>
    <row r="43" spans="1:12">
      <c r="A43" s="16" t="s">
        <v>147</v>
      </c>
      <c r="B43" s="17" t="s">
        <v>148</v>
      </c>
      <c r="C43" s="17" t="s">
        <v>136</v>
      </c>
      <c r="D43" s="39">
        <v>44875.75</v>
      </c>
      <c r="E43" s="17" t="s">
        <v>103</v>
      </c>
      <c r="F43" s="17" t="s">
        <v>104</v>
      </c>
      <c r="G43" s="17" t="s">
        <v>42</v>
      </c>
      <c r="H43" s="17" t="s">
        <v>49</v>
      </c>
      <c r="I43" s="17" t="s">
        <v>44</v>
      </c>
      <c r="J43" s="41">
        <v>19.47774424</v>
      </c>
      <c r="K43" s="41">
        <v>-99.099104049999994</v>
      </c>
      <c r="L43" s="18" t="s">
        <v>45</v>
      </c>
    </row>
    <row r="44" spans="1:12">
      <c r="A44" s="16" t="s">
        <v>149</v>
      </c>
      <c r="B44" s="17" t="s">
        <v>150</v>
      </c>
      <c r="C44" s="17" t="s">
        <v>136</v>
      </c>
      <c r="D44" s="39">
        <v>45183.75</v>
      </c>
      <c r="E44" s="17" t="s">
        <v>103</v>
      </c>
      <c r="F44" s="17" t="s">
        <v>104</v>
      </c>
      <c r="G44" s="17" t="s">
        <v>42</v>
      </c>
      <c r="H44" s="17" t="s">
        <v>49</v>
      </c>
      <c r="I44" s="17" t="s">
        <v>44</v>
      </c>
      <c r="J44" s="41">
        <v>19.47784704</v>
      </c>
      <c r="K44" s="41">
        <v>-99.099056730000001</v>
      </c>
      <c r="L44" s="18" t="s">
        <v>45</v>
      </c>
    </row>
    <row r="45" spans="1:12">
      <c r="A45" s="16" t="s">
        <v>151</v>
      </c>
      <c r="B45" s="17" t="s">
        <v>152</v>
      </c>
      <c r="C45" s="17" t="s">
        <v>136</v>
      </c>
      <c r="D45" s="39">
        <v>44828.708333333336</v>
      </c>
      <c r="E45" s="17" t="s">
        <v>137</v>
      </c>
      <c r="F45" s="17" t="s">
        <v>104</v>
      </c>
      <c r="G45" s="17" t="s">
        <v>48</v>
      </c>
      <c r="H45" s="17" t="s">
        <v>97</v>
      </c>
      <c r="I45" s="17" t="s">
        <v>44</v>
      </c>
      <c r="J45" s="41">
        <v>19.421183920000001</v>
      </c>
      <c r="K45" s="41">
        <v>-99.096693799999997</v>
      </c>
      <c r="L45" s="18" t="s">
        <v>45</v>
      </c>
    </row>
    <row r="46" spans="1:12">
      <c r="A46" s="16" t="s">
        <v>153</v>
      </c>
      <c r="B46" s="17" t="s">
        <v>154</v>
      </c>
      <c r="C46" s="17" t="s">
        <v>136</v>
      </c>
      <c r="D46" s="39">
        <v>43269.708333333336</v>
      </c>
      <c r="E46" s="17" t="s">
        <v>103</v>
      </c>
      <c r="F46" s="17" t="s">
        <v>104</v>
      </c>
      <c r="G46" s="17" t="s">
        <v>48</v>
      </c>
      <c r="H46" s="17" t="s">
        <v>43</v>
      </c>
      <c r="I46" s="17" t="s">
        <v>44</v>
      </c>
      <c r="J46" s="41">
        <v>19.47171664</v>
      </c>
      <c r="K46" s="41">
        <v>-99.119366099999993</v>
      </c>
      <c r="L46" s="18" t="s">
        <v>45</v>
      </c>
    </row>
    <row r="47" spans="1:12">
      <c r="A47" s="16" t="s">
        <v>155</v>
      </c>
      <c r="B47" s="17" t="s">
        <v>156</v>
      </c>
      <c r="C47" s="17" t="s">
        <v>136</v>
      </c>
      <c r="D47" s="39">
        <v>45290.75</v>
      </c>
      <c r="E47" s="17" t="s">
        <v>137</v>
      </c>
      <c r="F47" s="17" t="s">
        <v>104</v>
      </c>
      <c r="G47" s="17" t="s">
        <v>42</v>
      </c>
      <c r="H47" s="17" t="s">
        <v>157</v>
      </c>
      <c r="I47" s="17" t="s">
        <v>44</v>
      </c>
      <c r="J47" s="41">
        <v>19.430852059999999</v>
      </c>
      <c r="K47" s="41">
        <v>-99.114769170000002</v>
      </c>
      <c r="L47" s="18" t="s">
        <v>45</v>
      </c>
    </row>
    <row r="48" spans="1:12">
      <c r="A48" s="16" t="s">
        <v>158</v>
      </c>
      <c r="B48" s="17" t="s">
        <v>159</v>
      </c>
      <c r="C48" s="17" t="s">
        <v>160</v>
      </c>
      <c r="D48" s="39">
        <v>42713.75</v>
      </c>
      <c r="E48" s="17" t="s">
        <v>161</v>
      </c>
      <c r="F48" s="17" t="s">
        <v>41</v>
      </c>
      <c r="G48" s="17" t="s">
        <v>42</v>
      </c>
      <c r="H48" s="17" t="s">
        <v>157</v>
      </c>
      <c r="I48" s="17" t="s">
        <v>50</v>
      </c>
      <c r="J48" s="41">
        <v>19.460494829999998</v>
      </c>
      <c r="K48" s="41">
        <v>-99.215170729999997</v>
      </c>
      <c r="L48" s="18" t="s">
        <v>45</v>
      </c>
    </row>
    <row r="49" spans="1:12">
      <c r="A49" s="16" t="s">
        <v>162</v>
      </c>
      <c r="B49" s="17" t="s">
        <v>163</v>
      </c>
      <c r="C49" s="17" t="s">
        <v>160</v>
      </c>
      <c r="D49" s="39">
        <v>38965.708333333336</v>
      </c>
      <c r="E49" s="17" t="s">
        <v>161</v>
      </c>
      <c r="F49" s="17" t="s">
        <v>41</v>
      </c>
      <c r="G49" s="17" t="s">
        <v>42</v>
      </c>
      <c r="H49" s="17" t="s">
        <v>71</v>
      </c>
      <c r="I49" s="17" t="s">
        <v>44</v>
      </c>
      <c r="J49" s="41">
        <v>19.486995539999999</v>
      </c>
      <c r="K49" s="41">
        <v>-99.232926500000005</v>
      </c>
      <c r="L49" s="18" t="s">
        <v>45</v>
      </c>
    </row>
    <row r="50" spans="1:12">
      <c r="A50" s="16" t="s">
        <v>164</v>
      </c>
      <c r="B50" s="17" t="s">
        <v>165</v>
      </c>
      <c r="C50" s="17" t="s">
        <v>160</v>
      </c>
      <c r="D50" s="39">
        <v>41088.708333333336</v>
      </c>
      <c r="E50" s="17" t="s">
        <v>107</v>
      </c>
      <c r="F50" s="17" t="s">
        <v>104</v>
      </c>
      <c r="G50" s="17" t="s">
        <v>48</v>
      </c>
      <c r="H50" s="17" t="s">
        <v>43</v>
      </c>
      <c r="I50" s="17" t="s">
        <v>50</v>
      </c>
      <c r="J50" s="41">
        <v>19.503352060000001</v>
      </c>
      <c r="K50" s="41">
        <v>-99.203410099999999</v>
      </c>
      <c r="L50" s="18" t="s">
        <v>45</v>
      </c>
    </row>
    <row r="51" spans="1:12">
      <c r="A51" s="16" t="s">
        <v>166</v>
      </c>
      <c r="B51" s="17" t="s">
        <v>167</v>
      </c>
      <c r="C51" s="17" t="s">
        <v>160</v>
      </c>
      <c r="D51" s="39">
        <v>43135.75</v>
      </c>
      <c r="E51" s="17" t="s">
        <v>81</v>
      </c>
      <c r="F51" s="17" t="s">
        <v>41</v>
      </c>
      <c r="G51" s="17" t="s">
        <v>42</v>
      </c>
      <c r="H51" s="17" t="s">
        <v>97</v>
      </c>
      <c r="I51" s="17" t="s">
        <v>50</v>
      </c>
      <c r="J51" s="41">
        <v>19.509086709999998</v>
      </c>
      <c r="K51" s="41">
        <v>-99.219823980000001</v>
      </c>
      <c r="L51" s="18" t="s">
        <v>45</v>
      </c>
    </row>
    <row r="52" spans="1:12">
      <c r="A52" s="16" t="s">
        <v>168</v>
      </c>
      <c r="B52" s="17" t="s">
        <v>169</v>
      </c>
      <c r="C52" s="17" t="s">
        <v>160</v>
      </c>
      <c r="D52" s="39">
        <v>41971.75</v>
      </c>
      <c r="E52" s="17" t="s">
        <v>161</v>
      </c>
      <c r="F52" s="17" t="s">
        <v>41</v>
      </c>
      <c r="G52" s="17" t="s">
        <v>42</v>
      </c>
      <c r="H52" s="17" t="s">
        <v>49</v>
      </c>
      <c r="I52" s="17" t="s">
        <v>44</v>
      </c>
      <c r="J52" s="41">
        <v>19.454689340000002</v>
      </c>
      <c r="K52" s="41">
        <v>-99.219021459999993</v>
      </c>
      <c r="L52" s="18" t="s">
        <v>45</v>
      </c>
    </row>
    <row r="53" spans="1:12">
      <c r="A53" s="16" t="s">
        <v>170</v>
      </c>
      <c r="B53" s="17" t="s">
        <v>171</v>
      </c>
      <c r="C53" s="17" t="s">
        <v>160</v>
      </c>
      <c r="D53" s="39">
        <v>42245.708333333336</v>
      </c>
      <c r="E53" s="17" t="s">
        <v>161</v>
      </c>
      <c r="F53" s="17" t="s">
        <v>41</v>
      </c>
      <c r="G53" s="17" t="s">
        <v>48</v>
      </c>
      <c r="H53" s="17" t="s">
        <v>49</v>
      </c>
      <c r="I53" s="17" t="s">
        <v>44</v>
      </c>
      <c r="J53" s="41">
        <v>19.454657040000001</v>
      </c>
      <c r="K53" s="41">
        <v>-99.219035000000005</v>
      </c>
      <c r="L53" s="18" t="s">
        <v>45</v>
      </c>
    </row>
    <row r="54" spans="1:12">
      <c r="A54" s="16" t="s">
        <v>172</v>
      </c>
      <c r="B54" s="17" t="s">
        <v>173</v>
      </c>
      <c r="C54" s="17" t="s">
        <v>160</v>
      </c>
      <c r="D54" s="39">
        <v>44704.708333333336</v>
      </c>
      <c r="E54" s="17" t="s">
        <v>161</v>
      </c>
      <c r="F54" s="17" t="s">
        <v>41</v>
      </c>
      <c r="G54" s="17" t="s">
        <v>108</v>
      </c>
      <c r="H54" s="17" t="s">
        <v>138</v>
      </c>
      <c r="I54" s="17" t="s">
        <v>44</v>
      </c>
      <c r="J54" s="41">
        <v>19.50731704</v>
      </c>
      <c r="K54" s="41">
        <v>-99.237140760000003</v>
      </c>
      <c r="L54" s="18" t="s">
        <v>45</v>
      </c>
    </row>
    <row r="55" spans="1:12">
      <c r="A55" s="16" t="s">
        <v>174</v>
      </c>
      <c r="B55" s="17" t="s">
        <v>175</v>
      </c>
      <c r="C55" s="17" t="s">
        <v>160</v>
      </c>
      <c r="D55" s="39">
        <v>40859.75</v>
      </c>
      <c r="E55" s="17" t="s">
        <v>161</v>
      </c>
      <c r="F55" s="17" t="s">
        <v>41</v>
      </c>
      <c r="G55" s="17" t="s">
        <v>42</v>
      </c>
      <c r="H55" s="17" t="s">
        <v>49</v>
      </c>
      <c r="I55" s="17" t="s">
        <v>44</v>
      </c>
      <c r="J55" s="41">
        <v>19.51106961</v>
      </c>
      <c r="K55" s="41">
        <v>-99.233394559999994</v>
      </c>
      <c r="L55" s="18" t="s">
        <v>45</v>
      </c>
    </row>
    <row r="56" spans="1:12">
      <c r="A56" s="16" t="s">
        <v>176</v>
      </c>
      <c r="B56" s="17" t="s">
        <v>177</v>
      </c>
      <c r="C56" s="17" t="s">
        <v>160</v>
      </c>
      <c r="D56" s="39">
        <v>43507.75</v>
      </c>
      <c r="E56" s="17" t="s">
        <v>161</v>
      </c>
      <c r="F56" s="17" t="s">
        <v>41</v>
      </c>
      <c r="G56" s="17" t="s">
        <v>42</v>
      </c>
      <c r="H56" s="17" t="s">
        <v>49</v>
      </c>
      <c r="I56" s="17" t="s">
        <v>44</v>
      </c>
      <c r="J56" s="41">
        <v>19.51026426</v>
      </c>
      <c r="K56" s="41">
        <v>-99.234231030000004</v>
      </c>
      <c r="L56" s="18" t="s">
        <v>45</v>
      </c>
    </row>
    <row r="57" spans="1:12">
      <c r="A57" s="16" t="s">
        <v>178</v>
      </c>
      <c r="B57" s="17" t="s">
        <v>179</v>
      </c>
      <c r="C57" s="17" t="s">
        <v>160</v>
      </c>
      <c r="D57" s="39">
        <v>45895.75</v>
      </c>
      <c r="E57" s="17" t="s">
        <v>161</v>
      </c>
      <c r="F57" s="17" t="s">
        <v>41</v>
      </c>
      <c r="G57" s="17" t="s">
        <v>42</v>
      </c>
      <c r="H57" s="17" t="s">
        <v>49</v>
      </c>
      <c r="I57" s="17" t="s">
        <v>50</v>
      </c>
      <c r="J57" s="41">
        <v>19.50621108</v>
      </c>
      <c r="K57" s="41">
        <v>-99.235687970000001</v>
      </c>
      <c r="L57" s="18" t="s">
        <v>45</v>
      </c>
    </row>
    <row r="58" spans="1:12">
      <c r="A58" s="16" t="s">
        <v>180</v>
      </c>
      <c r="B58" s="17" t="s">
        <v>181</v>
      </c>
      <c r="C58" s="17" t="s">
        <v>160</v>
      </c>
      <c r="D58" s="39">
        <v>37892.708333333336</v>
      </c>
      <c r="E58" s="17" t="s">
        <v>161</v>
      </c>
      <c r="F58" s="17" t="s">
        <v>41</v>
      </c>
      <c r="G58" s="17" t="s">
        <v>42</v>
      </c>
      <c r="H58" s="17" t="s">
        <v>92</v>
      </c>
      <c r="I58" s="17" t="s">
        <v>50</v>
      </c>
      <c r="J58" s="41">
        <v>19.50687435</v>
      </c>
      <c r="K58" s="41">
        <v>-99.233830879999999</v>
      </c>
      <c r="L58" s="18" t="s">
        <v>45</v>
      </c>
    </row>
    <row r="59" spans="1:12">
      <c r="A59" s="16" t="s">
        <v>182</v>
      </c>
      <c r="B59" s="17" t="s">
        <v>183</v>
      </c>
      <c r="C59" s="17" t="s">
        <v>160</v>
      </c>
      <c r="D59" s="39">
        <v>41249.75</v>
      </c>
      <c r="E59" s="17" t="s">
        <v>161</v>
      </c>
      <c r="F59" s="17" t="s">
        <v>41</v>
      </c>
      <c r="G59" s="17" t="s">
        <v>42</v>
      </c>
      <c r="H59" s="17" t="s">
        <v>71</v>
      </c>
      <c r="I59" s="17" t="s">
        <v>50</v>
      </c>
      <c r="J59" s="41">
        <v>19.510668460000002</v>
      </c>
      <c r="K59" s="41">
        <v>-99.229472560000005</v>
      </c>
      <c r="L59" s="18" t="s">
        <v>45</v>
      </c>
    </row>
    <row r="60" spans="1:12">
      <c r="A60" s="16" t="s">
        <v>184</v>
      </c>
      <c r="B60" s="17" t="s">
        <v>185</v>
      </c>
      <c r="C60" s="17" t="s">
        <v>160</v>
      </c>
      <c r="D60" s="39">
        <v>42579.708333333336</v>
      </c>
      <c r="E60" s="17" t="s">
        <v>81</v>
      </c>
      <c r="F60" s="17" t="s">
        <v>41</v>
      </c>
      <c r="G60" s="17" t="s">
        <v>108</v>
      </c>
      <c r="H60" s="17" t="s">
        <v>71</v>
      </c>
      <c r="I60" s="17" t="s">
        <v>44</v>
      </c>
      <c r="J60" s="41">
        <v>19.52537517</v>
      </c>
      <c r="K60" s="41">
        <v>-99.224941459999997</v>
      </c>
      <c r="L60" s="18" t="s">
        <v>45</v>
      </c>
    </row>
    <row r="61" spans="1:12">
      <c r="A61" s="16" t="s">
        <v>186</v>
      </c>
      <c r="B61" s="17" t="s">
        <v>187</v>
      </c>
      <c r="C61" s="17" t="s">
        <v>188</v>
      </c>
      <c r="D61" s="39">
        <v>45436.75</v>
      </c>
      <c r="E61" s="17" t="s">
        <v>70</v>
      </c>
      <c r="F61" s="17" t="s">
        <v>41</v>
      </c>
      <c r="G61" s="17" t="s">
        <v>42</v>
      </c>
      <c r="H61" s="17" t="s">
        <v>92</v>
      </c>
      <c r="I61" s="17" t="s">
        <v>50</v>
      </c>
      <c r="J61" s="41">
        <v>19.554659300000001</v>
      </c>
      <c r="K61" s="41">
        <v>-99.267669409999996</v>
      </c>
      <c r="L61" s="18" t="s">
        <v>45</v>
      </c>
    </row>
    <row r="62" spans="1:12">
      <c r="A62" s="16" t="s">
        <v>189</v>
      </c>
      <c r="B62" s="17" t="s">
        <v>190</v>
      </c>
      <c r="C62" s="17" t="s">
        <v>188</v>
      </c>
      <c r="D62" s="39">
        <v>38442.75</v>
      </c>
      <c r="E62" s="17" t="s">
        <v>81</v>
      </c>
      <c r="F62" s="17" t="s">
        <v>41</v>
      </c>
      <c r="G62" s="17" t="s">
        <v>42</v>
      </c>
      <c r="H62" s="17" t="s">
        <v>97</v>
      </c>
      <c r="I62" s="17" t="s">
        <v>44</v>
      </c>
      <c r="J62" s="41">
        <v>19.51894704</v>
      </c>
      <c r="K62" s="41">
        <v>-99.246877859999998</v>
      </c>
      <c r="L62" s="18" t="s">
        <v>45</v>
      </c>
    </row>
    <row r="63" spans="1:12">
      <c r="A63" s="16" t="s">
        <v>191</v>
      </c>
      <c r="B63" s="17" t="s">
        <v>192</v>
      </c>
      <c r="C63" s="17" t="s">
        <v>188</v>
      </c>
      <c r="D63" s="39">
        <v>40494.75</v>
      </c>
      <c r="E63" s="17" t="s">
        <v>161</v>
      </c>
      <c r="F63" s="17" t="s">
        <v>41</v>
      </c>
      <c r="G63" s="17" t="s">
        <v>48</v>
      </c>
      <c r="H63" s="17" t="s">
        <v>97</v>
      </c>
      <c r="I63" s="17" t="s">
        <v>50</v>
      </c>
      <c r="J63" s="41">
        <v>19.496097519999999</v>
      </c>
      <c r="K63" s="41">
        <v>-99.246904099999995</v>
      </c>
      <c r="L63" s="18" t="s">
        <v>45</v>
      </c>
    </row>
    <row r="64" spans="1:12">
      <c r="A64" s="16" t="s">
        <v>193</v>
      </c>
      <c r="B64" s="17" t="s">
        <v>194</v>
      </c>
      <c r="C64" s="17" t="s">
        <v>188</v>
      </c>
      <c r="D64" s="39">
        <v>41795.708333333336</v>
      </c>
      <c r="E64" s="17" t="s">
        <v>70</v>
      </c>
      <c r="F64" s="17" t="s">
        <v>41</v>
      </c>
      <c r="G64" s="17" t="s">
        <v>108</v>
      </c>
      <c r="H64" s="17" t="s">
        <v>43</v>
      </c>
      <c r="I64" s="17" t="s">
        <v>44</v>
      </c>
      <c r="J64" s="41">
        <v>19.54964287</v>
      </c>
      <c r="K64" s="41">
        <v>-99.287552739999995</v>
      </c>
      <c r="L64" s="18" t="s">
        <v>45</v>
      </c>
    </row>
    <row r="65" spans="1:12">
      <c r="A65" s="16" t="s">
        <v>195</v>
      </c>
      <c r="B65" s="17" t="s">
        <v>196</v>
      </c>
      <c r="C65" s="17" t="s">
        <v>188</v>
      </c>
      <c r="D65" s="39">
        <v>41536.708333333336</v>
      </c>
      <c r="E65" s="17" t="s">
        <v>161</v>
      </c>
      <c r="F65" s="17" t="s">
        <v>41</v>
      </c>
      <c r="G65" s="17" t="s">
        <v>42</v>
      </c>
      <c r="H65" s="17" t="s">
        <v>97</v>
      </c>
      <c r="I65" s="17" t="s">
        <v>44</v>
      </c>
      <c r="J65" s="41">
        <v>19.477305059999999</v>
      </c>
      <c r="K65" s="41">
        <v>-99.268726459999996</v>
      </c>
      <c r="L65" s="18" t="s">
        <v>45</v>
      </c>
    </row>
    <row r="66" spans="1:12">
      <c r="A66" s="16" t="s">
        <v>197</v>
      </c>
      <c r="B66" s="17" t="s">
        <v>198</v>
      </c>
      <c r="C66" s="17" t="s">
        <v>188</v>
      </c>
      <c r="D66" s="39">
        <v>39892.75</v>
      </c>
      <c r="E66" s="17" t="s">
        <v>70</v>
      </c>
      <c r="F66" s="17" t="s">
        <v>41</v>
      </c>
      <c r="G66" s="17" t="s">
        <v>42</v>
      </c>
      <c r="H66" s="17" t="s">
        <v>49</v>
      </c>
      <c r="I66" s="17" t="s">
        <v>44</v>
      </c>
      <c r="J66" s="41">
        <v>19.549195059999999</v>
      </c>
      <c r="K66" s="41">
        <v>-99.274439270000002</v>
      </c>
      <c r="L66" s="18" t="s">
        <v>45</v>
      </c>
    </row>
    <row r="67" spans="1:12">
      <c r="A67" s="16" t="s">
        <v>199</v>
      </c>
      <c r="B67" s="17" t="s">
        <v>200</v>
      </c>
      <c r="C67" s="17" t="s">
        <v>188</v>
      </c>
      <c r="D67" s="39">
        <v>37925.75</v>
      </c>
      <c r="E67" s="17" t="s">
        <v>161</v>
      </c>
      <c r="F67" s="17" t="s">
        <v>41</v>
      </c>
      <c r="G67" s="17" t="s">
        <v>42</v>
      </c>
      <c r="H67" s="17" t="s">
        <v>92</v>
      </c>
      <c r="I67" s="17" t="s">
        <v>50</v>
      </c>
      <c r="J67" s="41">
        <v>19.506540869999998</v>
      </c>
      <c r="K67" s="41">
        <v>-99.259217660000004</v>
      </c>
      <c r="L67" s="18" t="s">
        <v>45</v>
      </c>
    </row>
    <row r="68" spans="1:12">
      <c r="A68" s="16" t="s">
        <v>201</v>
      </c>
      <c r="B68" s="17" t="s">
        <v>202</v>
      </c>
      <c r="C68" s="17" t="s">
        <v>188</v>
      </c>
      <c r="D68" s="39">
        <v>39401.75</v>
      </c>
      <c r="E68" s="17" t="s">
        <v>161</v>
      </c>
      <c r="F68" s="17" t="s">
        <v>41</v>
      </c>
      <c r="G68" s="17" t="s">
        <v>42</v>
      </c>
      <c r="H68" s="17" t="s">
        <v>97</v>
      </c>
      <c r="I68" s="17" t="s">
        <v>44</v>
      </c>
      <c r="J68" s="41">
        <v>19.515052130000001</v>
      </c>
      <c r="K68" s="41">
        <v>-99.266255770000001</v>
      </c>
      <c r="L68" s="18" t="s">
        <v>45</v>
      </c>
    </row>
    <row r="69" spans="1:12">
      <c r="A69" s="16" t="s">
        <v>203</v>
      </c>
      <c r="B69" s="17" t="s">
        <v>204</v>
      </c>
      <c r="C69" s="17" t="s">
        <v>188</v>
      </c>
      <c r="D69" s="39">
        <v>39386.75</v>
      </c>
      <c r="E69" s="17" t="s">
        <v>161</v>
      </c>
      <c r="F69" s="17" t="s">
        <v>41</v>
      </c>
      <c r="G69" s="17" t="s">
        <v>42</v>
      </c>
      <c r="H69" s="17" t="s">
        <v>43</v>
      </c>
      <c r="I69" s="17" t="s">
        <v>50</v>
      </c>
      <c r="J69" s="41">
        <v>19.483816489999999</v>
      </c>
      <c r="K69" s="41">
        <v>-99.249928999999995</v>
      </c>
      <c r="L69" s="18" t="s">
        <v>45</v>
      </c>
    </row>
    <row r="70" spans="1:12">
      <c r="A70" s="16" t="s">
        <v>205</v>
      </c>
      <c r="B70" s="17" t="s">
        <v>206</v>
      </c>
      <c r="C70" s="17" t="s">
        <v>188</v>
      </c>
      <c r="D70" s="39">
        <v>44834.708333333336</v>
      </c>
      <c r="E70" s="17" t="s">
        <v>161</v>
      </c>
      <c r="F70" s="17" t="s">
        <v>41</v>
      </c>
      <c r="G70" s="17" t="s">
        <v>48</v>
      </c>
      <c r="H70" s="17" t="s">
        <v>207</v>
      </c>
      <c r="I70" s="17" t="s">
        <v>44</v>
      </c>
      <c r="J70" s="41">
        <v>19.498985260000001</v>
      </c>
      <c r="K70" s="41">
        <v>-99.250871540000006</v>
      </c>
      <c r="L70" s="18" t="s">
        <v>45</v>
      </c>
    </row>
    <row r="71" spans="1:12">
      <c r="A71" s="16" t="s">
        <v>208</v>
      </c>
      <c r="B71" s="17" t="s">
        <v>209</v>
      </c>
      <c r="C71" s="17" t="s">
        <v>188</v>
      </c>
      <c r="D71" s="39">
        <v>45649.75</v>
      </c>
      <c r="E71" s="17" t="s">
        <v>210</v>
      </c>
      <c r="F71" s="17" t="s">
        <v>41</v>
      </c>
      <c r="G71" s="17" t="s">
        <v>42</v>
      </c>
      <c r="H71" s="17" t="s">
        <v>43</v>
      </c>
      <c r="I71" s="17" t="s">
        <v>50</v>
      </c>
      <c r="J71" s="41">
        <v>19.62665084</v>
      </c>
      <c r="K71" s="41">
        <v>-99.293241699999996</v>
      </c>
      <c r="L71" s="18" t="s">
        <v>45</v>
      </c>
    </row>
    <row r="72" spans="1:12">
      <c r="A72" s="16" t="s">
        <v>211</v>
      </c>
      <c r="B72" s="17" t="s">
        <v>212</v>
      </c>
      <c r="C72" s="17" t="s">
        <v>188</v>
      </c>
      <c r="D72" s="39">
        <v>37848.708333333336</v>
      </c>
      <c r="E72" s="17" t="s">
        <v>161</v>
      </c>
      <c r="F72" s="17" t="s">
        <v>41</v>
      </c>
      <c r="G72" s="17" t="s">
        <v>42</v>
      </c>
      <c r="H72" s="17" t="s">
        <v>71</v>
      </c>
      <c r="I72" s="17" t="s">
        <v>50</v>
      </c>
      <c r="J72" s="41">
        <v>19.506348760000002</v>
      </c>
      <c r="K72" s="41">
        <v>-99.24655516</v>
      </c>
      <c r="L72" s="18" t="s">
        <v>45</v>
      </c>
    </row>
    <row r="73" spans="1:12">
      <c r="A73" s="19" t="s">
        <v>213</v>
      </c>
      <c r="B73" s="20" t="s">
        <v>214</v>
      </c>
      <c r="C73" s="20" t="s">
        <v>188</v>
      </c>
      <c r="D73" s="40">
        <v>38338.75</v>
      </c>
      <c r="E73" s="20" t="s">
        <v>70</v>
      </c>
      <c r="F73" s="20" t="s">
        <v>41</v>
      </c>
      <c r="G73" s="20" t="s">
        <v>42</v>
      </c>
      <c r="H73" s="20" t="s">
        <v>97</v>
      </c>
      <c r="I73" s="20" t="s">
        <v>44</v>
      </c>
      <c r="J73" s="42">
        <v>19.55907624</v>
      </c>
      <c r="K73" s="42">
        <v>-99.296831229999995</v>
      </c>
      <c r="L73" s="21" t="s">
        <v>45</v>
      </c>
    </row>
    <row r="74" spans="1:12">
      <c r="A74" s="22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</row>
    <row r="75" spans="1:12">
      <c r="A75" s="22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</row>
    <row r="76" spans="1:12">
      <c r="A76" s="22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</row>
    <row r="77" spans="1:12">
      <c r="A77" s="22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</row>
    <row r="78" spans="1:12">
      <c r="A78" s="22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</row>
    <row r="79" spans="1:12">
      <c r="A79" s="22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</row>
    <row r="80" spans="1:12">
      <c r="A80" s="22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</row>
    <row r="81" spans="1:12">
      <c r="A81" s="22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</row>
    <row r="82" spans="1:12">
      <c r="A82" s="22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</row>
    <row r="83" spans="1:12">
      <c r="A83" s="22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</row>
    <row r="84" spans="1:12">
      <c r="A84" s="22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</row>
    <row r="85" spans="1:12">
      <c r="A85" s="22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</row>
    <row r="86" spans="1:12">
      <c r="A86" s="22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</row>
    <row r="87" spans="1:12">
      <c r="A87" s="22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</row>
    <row r="88" spans="1:12">
      <c r="A88" s="22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</row>
    <row r="89" spans="1:12">
      <c r="A89" s="22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</row>
    <row r="90" spans="1:12">
      <c r="A90" s="22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</row>
    <row r="91" spans="1:12">
      <c r="A91" s="22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</row>
    <row r="92" spans="1:12">
      <c r="A92" s="22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</row>
    <row r="93" spans="1:12">
      <c r="A93" s="22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</row>
    <row r="94" spans="1:12">
      <c r="A94" s="22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</row>
    <row r="95" spans="1:12">
      <c r="A95" s="22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</row>
    <row r="96" spans="1:12">
      <c r="A96" s="22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</row>
    <row r="97" spans="1:12">
      <c r="A97" s="22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</row>
    <row r="98" spans="1:12">
      <c r="A98" s="22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</row>
    <row r="99" spans="1:12">
      <c r="A99" s="22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</row>
    <row r="100" spans="1:12">
      <c r="A100" s="22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</row>
    <row r="101" spans="1:12">
      <c r="A101" s="22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</row>
    <row r="102" spans="1:12">
      <c r="A102" s="22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</row>
    <row r="103" spans="1:12">
      <c r="A103" s="22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</row>
    <row r="104" spans="1:12">
      <c r="A104" s="22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</row>
    <row r="105" spans="1:12">
      <c r="A105" s="22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</row>
    <row r="106" spans="1:12">
      <c r="A106" s="22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</row>
    <row r="107" spans="1:12">
      <c r="A107" s="22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</row>
    <row r="108" spans="1:12">
      <c r="A108" s="22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</row>
    <row r="109" spans="1:12">
      <c r="A109" s="22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</row>
    <row r="110" spans="1:12">
      <c r="A110" s="22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</row>
    <row r="111" spans="1:12">
      <c r="A111" s="22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</row>
    <row r="112" spans="1:12">
      <c r="A112" s="22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</row>
    <row r="113" spans="1:12">
      <c r="A113" s="22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</row>
    <row r="114" spans="1:12">
      <c r="A114" s="22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</row>
    <row r="115" spans="1:12">
      <c r="A115" s="22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</row>
    <row r="116" spans="1:12">
      <c r="A116" s="22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</row>
    <row r="117" spans="1:12">
      <c r="A117" s="22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</row>
    <row r="118" spans="1:12">
      <c r="A118" s="22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</row>
    <row r="119" spans="1:12">
      <c r="A119" s="22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</row>
    <row r="120" spans="1:12">
      <c r="A120" s="22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</row>
    <row r="121" spans="1:12">
      <c r="A121" s="22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</row>
    <row r="122" spans="1:12">
      <c r="A122" s="22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</row>
    <row r="123" spans="1:12">
      <c r="A123" s="22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</row>
    <row r="124" spans="1:12">
      <c r="A124" s="22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</row>
    <row r="125" spans="1:12">
      <c r="A125" s="22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</row>
    <row r="126" spans="1:12">
      <c r="A126" s="22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</row>
    <row r="127" spans="1:12">
      <c r="A127" s="22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</row>
    <row r="128" spans="1:12">
      <c r="A128" s="22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</row>
    <row r="129" spans="1:12">
      <c r="A129" s="22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</row>
    <row r="130" spans="1:12">
      <c r="A130" s="22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</row>
    <row r="131" spans="1:12">
      <c r="A131" s="22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</row>
    <row r="132" spans="1:12">
      <c r="A132" s="22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</row>
    <row r="133" spans="1:12">
      <c r="A133" s="22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</row>
    <row r="134" spans="1:12">
      <c r="A134" s="22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</row>
    <row r="135" spans="1:12">
      <c r="A135" s="22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</row>
    <row r="136" spans="1:12">
      <c r="A136" s="22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</row>
    <row r="137" spans="1:12">
      <c r="A137" s="22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</row>
    <row r="138" spans="1:12">
      <c r="A138" s="22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</row>
    <row r="139" spans="1:12">
      <c r="A139" s="22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</row>
    <row r="140" spans="1:12">
      <c r="A140" s="22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</row>
    <row r="141" spans="1:12">
      <c r="A141" s="22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</row>
    <row r="142" spans="1:12">
      <c r="A142" s="22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</row>
    <row r="143" spans="1:12">
      <c r="A143" s="22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</row>
    <row r="144" spans="1:12">
      <c r="A144" s="22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</row>
    <row r="145" spans="1:12">
      <c r="A145" s="22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</row>
    <row r="146" spans="1:12">
      <c r="A146" s="22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</row>
    <row r="147" spans="1:12">
      <c r="A147" s="22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</row>
    <row r="148" spans="1:12">
      <c r="A148" s="22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</row>
    <row r="149" spans="1:12">
      <c r="A149" s="22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</row>
    <row r="150" spans="1:12">
      <c r="A150" s="22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</row>
    <row r="151" spans="1:12">
      <c r="A151" s="22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</row>
    <row r="152" spans="1:12">
      <c r="A152" s="22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</row>
    <row r="153" spans="1:12">
      <c r="A153" s="22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</row>
    <row r="154" spans="1:12">
      <c r="A154" s="22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</row>
    <row r="155" spans="1:12">
      <c r="A155" s="22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</row>
    <row r="156" spans="1:12">
      <c r="A156" s="22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</row>
    <row r="157" spans="1:12">
      <c r="A157" s="22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</row>
    <row r="158" spans="1:12">
      <c r="A158" s="22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</row>
    <row r="159" spans="1:12">
      <c r="A159" s="22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</row>
    <row r="160" spans="1:12">
      <c r="A160" s="22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</row>
    <row r="161" spans="1:12">
      <c r="A161" s="22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</row>
    <row r="162" spans="1:12">
      <c r="A162" s="22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</row>
    <row r="163" spans="1:12">
      <c r="A163" s="22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</row>
    <row r="164" spans="1:12">
      <c r="A164" s="22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</row>
    <row r="165" spans="1:12">
      <c r="A165" s="22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</row>
    <row r="166" spans="1:12">
      <c r="A166" s="22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</row>
    <row r="167" spans="1:12">
      <c r="A167" s="22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</row>
    <row r="168" spans="1:12">
      <c r="A168" s="22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</row>
    <row r="169" spans="1:12">
      <c r="A169" s="22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</row>
    <row r="170" spans="1:12">
      <c r="A170" s="22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</row>
    <row r="171" spans="1:12">
      <c r="A171" s="22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</row>
    <row r="172" spans="1:12">
      <c r="A172" s="22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</row>
    <row r="173" spans="1:12">
      <c r="A173" s="22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</row>
    <row r="174" spans="1:12">
      <c r="A174" s="22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</row>
    <row r="175" spans="1:12">
      <c r="A175" s="22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</row>
    <row r="176" spans="1:12">
      <c r="A176" s="22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</row>
    <row r="177" spans="1:12">
      <c r="A177" s="22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</row>
    <row r="178" spans="1:12">
      <c r="A178" s="22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</row>
    <row r="179" spans="1:12">
      <c r="A179" s="22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</row>
    <row r="180" spans="1:12">
      <c r="A180" s="22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</row>
    <row r="181" spans="1:12">
      <c r="A181" s="22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</row>
    <row r="182" spans="1:12">
      <c r="A182" s="22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</row>
    <row r="183" spans="1:12">
      <c r="A183" s="22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</row>
    <row r="184" spans="1:12">
      <c r="A184" s="22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</row>
    <row r="185" spans="1:12">
      <c r="A185" s="22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</row>
    <row r="186" spans="1:12">
      <c r="A186" s="22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</row>
    <row r="187" spans="1:12">
      <c r="A187" s="22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</row>
    <row r="188" spans="1:12">
      <c r="A188" s="22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</row>
    <row r="189" spans="1:12">
      <c r="A189" s="22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</row>
    <row r="190" spans="1:12">
      <c r="A190" s="22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</row>
    <row r="191" spans="1:12">
      <c r="A191" s="22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</row>
    <row r="192" spans="1:12">
      <c r="A192" s="22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</row>
    <row r="193" spans="1:12">
      <c r="A193" s="22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</row>
    <row r="194" spans="1:12">
      <c r="A194" s="22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</row>
    <row r="195" spans="1:12">
      <c r="A195" s="22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</row>
    <row r="196" spans="1:12">
      <c r="A196" s="22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</row>
    <row r="197" spans="1:12">
      <c r="A197" s="22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</row>
    <row r="198" spans="1:12">
      <c r="A198" s="22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</row>
    <row r="199" spans="1:12">
      <c r="A199" s="22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</row>
    <row r="200" spans="1:12">
      <c r="A200" s="22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</row>
    <row r="201" spans="1:12">
      <c r="A201" s="22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</row>
    <row r="202" spans="1:12">
      <c r="A202" s="22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</row>
    <row r="203" spans="1:12">
      <c r="A203" s="22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</row>
    <row r="204" spans="1:12">
      <c r="A204" s="22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</row>
    <row r="205" spans="1:12">
      <c r="A205" s="22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</row>
    <row r="206" spans="1:12">
      <c r="A206" s="22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</row>
    <row r="207" spans="1:12">
      <c r="A207" s="22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</row>
    <row r="208" spans="1:12">
      <c r="A208" s="22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</row>
    <row r="209" spans="1:12">
      <c r="A209" s="22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</row>
    <row r="210" spans="1:12">
      <c r="A210" s="22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</row>
    <row r="211" spans="1:12">
      <c r="A211" s="22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</row>
    <row r="212" spans="1:12">
      <c r="A212" s="22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</row>
    <row r="213" spans="1:12">
      <c r="A213" s="22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</row>
    <row r="214" spans="1:12">
      <c r="A214" s="22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</row>
    <row r="215" spans="1:12">
      <c r="A215" s="22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</row>
    <row r="216" spans="1:12">
      <c r="A216" s="22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</row>
    <row r="217" spans="1:12">
      <c r="A217" s="22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</row>
    <row r="218" spans="1:12">
      <c r="A218" s="22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</row>
    <row r="219" spans="1:12">
      <c r="A219" s="22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</row>
    <row r="220" spans="1:12">
      <c r="A220" s="22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</row>
    <row r="221" spans="1:12">
      <c r="A221" s="22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</row>
    <row r="222" spans="1:12">
      <c r="A222" s="22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</row>
    <row r="223" spans="1:12">
      <c r="A223" s="22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</row>
    <row r="224" spans="1:12">
      <c r="A224" s="22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</row>
    <row r="225" spans="1:12">
      <c r="A225" s="22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</row>
    <row r="226" spans="1:12">
      <c r="A226" s="22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</row>
    <row r="227" spans="1:12">
      <c r="A227" s="22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</row>
    <row r="228" spans="1:12">
      <c r="A228" s="22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</row>
    <row r="229" spans="1:12">
      <c r="A229" s="22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</row>
    <row r="230" spans="1:12">
      <c r="A230" s="22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</row>
    <row r="231" spans="1:12">
      <c r="A231" s="22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</row>
    <row r="232" spans="1:12">
      <c r="A232" s="22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</row>
    <row r="233" spans="1:12">
      <c r="A233" s="22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</row>
    <row r="234" spans="1:12">
      <c r="A234" s="22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</row>
    <row r="235" spans="1:12">
      <c r="A235" s="22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</row>
    <row r="236" spans="1:12">
      <c r="A236" s="22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</row>
    <row r="237" spans="1:12">
      <c r="A237" s="22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</row>
    <row r="238" spans="1:12">
      <c r="A238" s="22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</row>
    <row r="239" spans="1:12">
      <c r="A239" s="22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</row>
    <row r="240" spans="1:12">
      <c r="A240" s="22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</row>
    <row r="241" spans="1:12">
      <c r="A241" s="22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</row>
    <row r="242" spans="1:12">
      <c r="A242" s="22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</row>
    <row r="243" spans="1:12">
      <c r="A243" s="22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</row>
    <row r="244" spans="1:12">
      <c r="A244" s="22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</row>
    <row r="245" spans="1:12">
      <c r="A245" s="22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</row>
    <row r="246" spans="1:12">
      <c r="A246" s="22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</row>
    <row r="247" spans="1:12">
      <c r="A247" s="22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</row>
    <row r="248" spans="1:12">
      <c r="A248" s="22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</row>
    <row r="249" spans="1:12">
      <c r="A249" s="22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</row>
    <row r="250" spans="1:12">
      <c r="A250" s="22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</row>
    <row r="251" spans="1:12">
      <c r="A251" s="22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</row>
    <row r="252" spans="1:12">
      <c r="A252" s="22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</row>
    <row r="253" spans="1:12">
      <c r="A253" s="22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</row>
    <row r="254" spans="1:12">
      <c r="A254" s="22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</row>
    <row r="255" spans="1:12">
      <c r="A255" s="22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</row>
    <row r="256" spans="1:12">
      <c r="A256" s="22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</row>
    <row r="257" spans="1:12">
      <c r="A257" s="22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</row>
    <row r="258" spans="1:12">
      <c r="A258" s="22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</row>
    <row r="259" spans="1:12">
      <c r="A259" s="22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</row>
    <row r="260" spans="1:12">
      <c r="A260" s="22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</row>
    <row r="261" spans="1:12">
      <c r="A261" s="22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</row>
    <row r="262" spans="1:12">
      <c r="A262" s="22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</row>
    <row r="263" spans="1:12">
      <c r="A263" s="22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</row>
    <row r="264" spans="1:12">
      <c r="A264" s="22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</row>
    <row r="265" spans="1:12">
      <c r="A265" s="22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</row>
    <row r="266" spans="1:12">
      <c r="A266" s="22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</row>
    <row r="267" spans="1:12">
      <c r="A267" s="22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</row>
    <row r="268" spans="1:12">
      <c r="A268" s="22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</row>
    <row r="269" spans="1:12">
      <c r="A269" s="22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</row>
    <row r="270" spans="1:12">
      <c r="A270" s="22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</row>
    <row r="271" spans="1:12">
      <c r="A271" s="22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</row>
    <row r="272" spans="1:12">
      <c r="A272" s="22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</row>
    <row r="273" spans="1:12">
      <c r="A273" s="22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</row>
    <row r="274" spans="1:12">
      <c r="A274" s="22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</row>
    <row r="275" spans="1:12">
      <c r="A275" s="22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</row>
    <row r="276" spans="1:12">
      <c r="A276" s="22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</row>
    <row r="277" spans="1:12">
      <c r="A277" s="22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</row>
    <row r="278" spans="1:12">
      <c r="A278" s="22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</row>
    <row r="279" spans="1:12">
      <c r="A279" s="22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</row>
    <row r="280" spans="1:12">
      <c r="A280" s="22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</row>
    <row r="281" spans="1:12">
      <c r="A281" s="22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</row>
    <row r="282" spans="1:12">
      <c r="A282" s="22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</row>
    <row r="283" spans="1:12">
      <c r="A283" s="22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</row>
    <row r="284" spans="1:12">
      <c r="A284" s="22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</row>
    <row r="285" spans="1:12">
      <c r="A285" s="22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</row>
    <row r="286" spans="1:12">
      <c r="A286" s="22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</row>
    <row r="287" spans="1:12">
      <c r="A287" s="22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</row>
    <row r="288" spans="1:12">
      <c r="A288" s="22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</row>
    <row r="289" spans="1:12">
      <c r="A289" s="22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</row>
    <row r="290" spans="1:12">
      <c r="A290" s="22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</row>
    <row r="291" spans="1:12">
      <c r="A291" s="22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</row>
    <row r="292" spans="1:12">
      <c r="A292" s="22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</row>
    <row r="293" spans="1:12">
      <c r="A293" s="22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</row>
    <row r="294" spans="1:12">
      <c r="A294" s="22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</row>
    <row r="295" spans="1:12">
      <c r="A295" s="22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</row>
    <row r="296" spans="1:12">
      <c r="A296" s="22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</row>
    <row r="297" spans="1:12">
      <c r="A297" s="22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</row>
    <row r="298" spans="1:12">
      <c r="A298" s="22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</row>
    <row r="299" spans="1:12">
      <c r="A299" s="22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</row>
    <row r="300" spans="1:12">
      <c r="A300" s="22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</row>
    <row r="301" spans="1:12">
      <c r="A301" s="22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</row>
    <row r="302" spans="1:12">
      <c r="A302" s="22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</row>
    <row r="303" spans="1:12">
      <c r="A303" s="22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</row>
    <row r="304" spans="1:12">
      <c r="A304" s="22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</row>
    <row r="305" spans="1:12">
      <c r="A305" s="22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</row>
    <row r="306" spans="1:12">
      <c r="A306" s="22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</row>
    <row r="307" spans="1:12">
      <c r="A307" s="22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</row>
    <row r="308" spans="1:12">
      <c r="A308" s="22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</row>
    <row r="309" spans="1:12">
      <c r="A309" s="22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</row>
    <row r="310" spans="1:12">
      <c r="A310" s="22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</row>
    <row r="311" spans="1:12">
      <c r="A311" s="22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</row>
    <row r="312" spans="1:12">
      <c r="A312" s="22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</row>
    <row r="313" spans="1:12">
      <c r="A313" s="22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</row>
    <row r="314" spans="1:12">
      <c r="A314" s="22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</row>
    <row r="315" spans="1:12">
      <c r="A315" s="22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</row>
    <row r="316" spans="1:12">
      <c r="A316" s="22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</row>
    <row r="317" spans="1:12">
      <c r="A317" s="22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</row>
    <row r="318" spans="1:12">
      <c r="A318" s="22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</row>
    <row r="319" spans="1:12">
      <c r="A319" s="22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</row>
    <row r="320" spans="1:12">
      <c r="A320" s="22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</row>
    <row r="321" spans="1:12">
      <c r="A321" s="22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</row>
    <row r="322" spans="1:12">
      <c r="A322" s="22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</row>
    <row r="323" spans="1:12">
      <c r="A323" s="22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</row>
    <row r="324" spans="1:12">
      <c r="A324" s="22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</row>
    <row r="325" spans="1:12">
      <c r="A325" s="22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</row>
    <row r="326" spans="1:12">
      <c r="A326" s="22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</row>
    <row r="327" spans="1:12">
      <c r="A327" s="22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</row>
    <row r="328" spans="1:12">
      <c r="A328" s="22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</row>
    <row r="329" spans="1:12">
      <c r="A329" s="22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</row>
    <row r="330" spans="1:12">
      <c r="A330" s="22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</row>
    <row r="331" spans="1:12">
      <c r="A331" s="22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</row>
    <row r="332" spans="1:12">
      <c r="A332" s="22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</row>
    <row r="333" spans="1:12">
      <c r="A333" s="22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</row>
    <row r="334" spans="1:12">
      <c r="A334" s="22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</row>
    <row r="335" spans="1:12">
      <c r="A335" s="22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</row>
    <row r="336" spans="1:12">
      <c r="A336" s="22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</row>
    <row r="337" spans="1:12">
      <c r="A337" s="22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</row>
    <row r="338" spans="1:12">
      <c r="A338" s="22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</row>
    <row r="339" spans="1:12">
      <c r="A339" s="22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</row>
    <row r="340" spans="1:12">
      <c r="A340" s="22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</row>
    <row r="341" spans="1:12">
      <c r="A341" s="22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</row>
    <row r="342" spans="1:12">
      <c r="A342" s="22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</row>
    <row r="343" spans="1:12">
      <c r="A343" s="22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</row>
    <row r="344" spans="1:12">
      <c r="A344" s="22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</row>
    <row r="345" spans="1:12">
      <c r="A345" s="22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</row>
    <row r="346" spans="1:12">
      <c r="A346" s="22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</row>
    <row r="347" spans="1:12">
      <c r="A347" s="22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</row>
    <row r="348" spans="1:12">
      <c r="A348" s="22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</row>
    <row r="349" spans="1:12">
      <c r="A349" s="22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</row>
    <row r="350" spans="1:12">
      <c r="A350" s="22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</row>
    <row r="351" spans="1:12">
      <c r="A351" s="22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</row>
    <row r="352" spans="1:12">
      <c r="A352" s="22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</row>
    <row r="353" spans="1:12">
      <c r="A353" s="22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</row>
    <row r="354" spans="1:12">
      <c r="A354" s="22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</row>
    <row r="355" spans="1:12">
      <c r="A355" s="22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</row>
    <row r="356" spans="1:12">
      <c r="A356" s="22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</row>
    <row r="357" spans="1:12">
      <c r="A357" s="22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</row>
    <row r="358" spans="1:12">
      <c r="A358" s="22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</row>
    <row r="359" spans="1:12">
      <c r="A359" s="22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</row>
    <row r="360" spans="1:12">
      <c r="A360" s="22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</row>
    <row r="361" spans="1:12">
      <c r="A361" s="22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</row>
    <row r="362" spans="1:12">
      <c r="A362" s="22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</row>
    <row r="363" spans="1:12">
      <c r="A363" s="22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</row>
    <row r="364" spans="1:12">
      <c r="A364" s="22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</row>
    <row r="365" spans="1:12">
      <c r="A365" s="22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</row>
    <row r="366" spans="1:12">
      <c r="A366" s="22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</row>
    <row r="367" spans="1:12">
      <c r="A367" s="22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</row>
    <row r="368" spans="1:12">
      <c r="A368" s="22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</row>
    <row r="369" spans="1:12">
      <c r="A369" s="22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</row>
    <row r="370" spans="1:12">
      <c r="A370" s="22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</row>
    <row r="371" spans="1:12">
      <c r="A371" s="22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</row>
    <row r="372" spans="1:12">
      <c r="A372" s="22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</row>
    <row r="373" spans="1:12">
      <c r="A373" s="22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</row>
    <row r="374" spans="1:12">
      <c r="A374" s="22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</row>
    <row r="375" spans="1:12">
      <c r="A375" s="22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</row>
    <row r="376" spans="1:12">
      <c r="A376" s="22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</row>
    <row r="377" spans="1:12">
      <c r="A377" s="22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</row>
    <row r="378" spans="1:12">
      <c r="A378" s="22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</row>
    <row r="379" spans="1:12">
      <c r="A379" s="22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</row>
    <row r="380" spans="1:12">
      <c r="A380" s="22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</row>
    <row r="381" spans="1:12">
      <c r="A381" s="22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</row>
    <row r="382" spans="1:12">
      <c r="A382" s="22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</row>
    <row r="383" spans="1:12">
      <c r="A383" s="22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</row>
    <row r="384" spans="1:12">
      <c r="A384" s="22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</row>
    <row r="385" spans="1:12">
      <c r="A385" s="22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</row>
    <row r="386" spans="1:12">
      <c r="A386" s="22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</row>
    <row r="387" spans="1:12">
      <c r="A387" s="22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</row>
    <row r="388" spans="1:12">
      <c r="A388" s="22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</row>
    <row r="389" spans="1:12">
      <c r="A389" s="22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</row>
    <row r="390" spans="1:12">
      <c r="A390" s="22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</row>
    <row r="391" spans="1:12">
      <c r="A391" s="22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</row>
    <row r="392" spans="1:12">
      <c r="A392" s="22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</row>
    <row r="393" spans="1:12">
      <c r="A393" s="22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</row>
    <row r="394" spans="1:12">
      <c r="A394" s="22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</row>
    <row r="395" spans="1:12">
      <c r="A395" s="22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</row>
    <row r="396" spans="1:12">
      <c r="A396" s="22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</row>
    <row r="397" spans="1:12">
      <c r="A397" s="22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</row>
    <row r="398" spans="1:12">
      <c r="A398" s="22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</row>
    <row r="399" spans="1:12">
      <c r="A399" s="22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</row>
    <row r="400" spans="1:12">
      <c r="A400" s="22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</row>
    <row r="401" spans="1:12">
      <c r="A401" s="22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</row>
    <row r="402" spans="1:12">
      <c r="A402" s="22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</row>
    <row r="403" spans="1:12">
      <c r="A403" s="22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</row>
    <row r="404" spans="1:12">
      <c r="A404" s="22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</row>
    <row r="405" spans="1:12">
      <c r="A405" s="22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</row>
    <row r="406" spans="1:12">
      <c r="A406" s="22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</row>
    <row r="407" spans="1:12">
      <c r="A407" s="22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</row>
    <row r="408" spans="1:12">
      <c r="A408" s="22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</row>
    <row r="409" spans="1:12">
      <c r="A409" s="22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</row>
    <row r="410" spans="1:12">
      <c r="A410" s="22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</row>
    <row r="411" spans="1:12">
      <c r="A411" s="22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</row>
    <row r="412" spans="1:12">
      <c r="A412" s="22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</row>
    <row r="413" spans="1:12">
      <c r="A413" s="22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</row>
    <row r="414" spans="1:12">
      <c r="A414" s="22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</row>
    <row r="415" spans="1:12">
      <c r="A415" s="22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</row>
    <row r="416" spans="1:12">
      <c r="A416" s="22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</row>
    <row r="417" spans="1:12">
      <c r="A417" s="22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</row>
    <row r="418" spans="1:12">
      <c r="A418" s="22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</row>
    <row r="419" spans="1:12">
      <c r="A419" s="22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</row>
    <row r="420" spans="1:12">
      <c r="A420" s="22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</row>
    <row r="421" spans="1:12">
      <c r="A421" s="22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</row>
    <row r="422" spans="1:12">
      <c r="A422" s="22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</row>
    <row r="423" spans="1:12">
      <c r="A423" s="22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</row>
    <row r="424" spans="1:12">
      <c r="A424" s="22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</row>
    <row r="425" spans="1:12">
      <c r="A425" s="22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</row>
    <row r="426" spans="1:12">
      <c r="A426" s="22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</row>
    <row r="427" spans="1:12">
      <c r="A427" s="22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</row>
    <row r="428" spans="1:12">
      <c r="A428" s="22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</row>
    <row r="429" spans="1:12">
      <c r="A429" s="22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</row>
    <row r="430" spans="1:12">
      <c r="A430" s="22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</row>
    <row r="431" spans="1:12">
      <c r="A431" s="22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</row>
    <row r="432" spans="1:12">
      <c r="A432" s="22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</row>
    <row r="433" spans="1:12">
      <c r="A433" s="22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</row>
    <row r="434" spans="1:12">
      <c r="A434" s="22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</row>
    <row r="435" spans="1:12">
      <c r="A435" s="22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</row>
    <row r="436" spans="1:12">
      <c r="A436" s="22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</row>
    <row r="437" spans="1:12">
      <c r="A437" s="22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</row>
    <row r="438" spans="1:12">
      <c r="A438" s="22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</row>
    <row r="439" spans="1:12">
      <c r="A439" s="22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</row>
    <row r="440" spans="1:12">
      <c r="A440" s="22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</row>
    <row r="441" spans="1:12">
      <c r="A441" s="22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</row>
    <row r="442" spans="1:12">
      <c r="A442" s="22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</row>
    <row r="443" spans="1:12">
      <c r="A443" s="22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</row>
    <row r="444" spans="1:12">
      <c r="A444" s="22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</row>
    <row r="445" spans="1:12">
      <c r="A445" s="22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</row>
    <row r="446" spans="1:12">
      <c r="A446" s="22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</row>
    <row r="447" spans="1:12">
      <c r="A447" s="22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</row>
    <row r="448" spans="1:12">
      <c r="A448" s="22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</row>
    <row r="449" spans="1:12">
      <c r="A449" s="22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</row>
    <row r="450" spans="1:12">
      <c r="A450" s="22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</row>
    <row r="451" spans="1:12">
      <c r="A451" s="22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</row>
    <row r="452" spans="1:12">
      <c r="A452" s="22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</row>
    <row r="453" spans="1:12">
      <c r="A453" s="22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</row>
    <row r="454" spans="1:12">
      <c r="A454" s="22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</row>
    <row r="455" spans="1:12">
      <c r="A455" s="22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</row>
    <row r="456" spans="1:12">
      <c r="A456" s="22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</row>
    <row r="457" spans="1:12">
      <c r="A457" s="22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</row>
    <row r="458" spans="1:12">
      <c r="A458" s="22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</row>
    <row r="459" spans="1:12">
      <c r="A459" s="22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</row>
    <row r="460" spans="1:12">
      <c r="A460" s="22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</row>
    <row r="461" spans="1:12">
      <c r="A461" s="22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</row>
    <row r="462" spans="1:12">
      <c r="A462" s="22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</row>
    <row r="463" spans="1:12">
      <c r="A463" s="22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</row>
    <row r="464" spans="1:12">
      <c r="A464" s="22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</row>
    <row r="465" spans="1:12">
      <c r="A465" s="22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</row>
    <row r="466" spans="1:12">
      <c r="A466" s="22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</row>
    <row r="467" spans="1:12">
      <c r="A467" s="22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</row>
    <row r="468" spans="1:12">
      <c r="A468" s="22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</row>
    <row r="469" spans="1:12">
      <c r="A469" s="22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</row>
    <row r="470" spans="1:12">
      <c r="A470" s="22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</row>
    <row r="471" spans="1:12">
      <c r="A471" s="22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</row>
    <row r="472" spans="1:12">
      <c r="A472" s="22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</row>
    <row r="473" spans="1:12">
      <c r="A473" s="22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</row>
    <row r="474" spans="1:12">
      <c r="A474" s="22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</row>
    <row r="475" spans="1:12">
      <c r="A475" s="22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</row>
    <row r="476" spans="1:12">
      <c r="A476" s="22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</row>
    <row r="477" spans="1:12">
      <c r="A477" s="22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</row>
    <row r="478" spans="1:12">
      <c r="A478" s="22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</row>
    <row r="479" spans="1:12">
      <c r="A479" s="22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</row>
    <row r="480" spans="1:12">
      <c r="A480" s="22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</row>
    <row r="481" spans="1:12">
      <c r="A481" s="22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</row>
    <row r="482" spans="1:12">
      <c r="A482" s="22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</row>
    <row r="483" spans="1:12">
      <c r="A483" s="22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</row>
    <row r="484" spans="1:12">
      <c r="A484" s="22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</row>
    <row r="485" spans="1:12">
      <c r="A485" s="22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</row>
    <row r="486" spans="1:12">
      <c r="A486" s="22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</row>
    <row r="487" spans="1:12">
      <c r="A487" s="22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</row>
    <row r="488" spans="1:12">
      <c r="A488" s="22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</row>
    <row r="489" spans="1:12">
      <c r="A489" s="22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</row>
    <row r="490" spans="1:12">
      <c r="A490" s="22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</row>
    <row r="491" spans="1:12">
      <c r="A491" s="22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</row>
    <row r="492" spans="1:12">
      <c r="A492" s="22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</row>
    <row r="493" spans="1:12">
      <c r="A493" s="22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</row>
    <row r="494" spans="1:12">
      <c r="A494" s="22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</row>
    <row r="495" spans="1:12">
      <c r="A495" s="22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</row>
    <row r="496" spans="1:12">
      <c r="A496" s="22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</row>
    <row r="497" spans="1:12">
      <c r="A497" s="22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</row>
    <row r="498" spans="1:12">
      <c r="A498" s="22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</row>
    <row r="499" spans="1:12">
      <c r="A499" s="22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</row>
    <row r="500" spans="1:12">
      <c r="A500" s="22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</row>
    <row r="501" spans="1:12">
      <c r="A501" s="22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</row>
  </sheetData>
  <dataValidations count="6">
    <dataValidation type="list" sqref="C2:C501" xr:uid="{00000000-0002-0000-0100-000000000000}">
      <formula1>"Enrique César,Nancy Rodríguez,Vanessa Carreño,Veronica García,Yazmin Chabela,Yazmin García"</formula1>
    </dataValidation>
    <dataValidation type="list" sqref="F2:F501" xr:uid="{00000000-0002-0000-0100-000001000000}">
      <formula1>"Ciudad De México,Estado De México"</formula1>
    </dataValidation>
    <dataValidation type="list" sqref="G2:G501" xr:uid="{00000000-0002-0000-0100-000002000000}">
      <formula1>"Cafe,Drive_Thru,Kiosko"</formula1>
    </dataValidation>
    <dataValidation type="list" sqref="H2:H501" xr:uid="{00000000-0002-0000-0100-000003000000}">
      <formula1>"Education,Health Care,Highway,Hypermarket,Main Avenues,Mall,Neighborhood,Shopping Center,Street,Train &amp; Bus Stations"</formula1>
    </dataValidation>
    <dataValidation type="list" sqref="I2:I501" xr:uid="{00000000-0002-0000-0100-000004000000}">
      <formula1>"C1,C2"</formula1>
    </dataValidation>
    <dataValidation type="list" sqref="L2:L501" xr:uid="{00000000-0002-0000-0100-000005000000}">
      <formula1>"Sí,No"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01"/>
  <sheetViews>
    <sheetView showGridLines="0" workbookViewId="0">
      <selection activeCell="C2" sqref="C2"/>
    </sheetView>
  </sheetViews>
  <sheetFormatPr baseColWidth="10" defaultColWidth="8.6640625" defaultRowHeight="14"/>
  <cols>
    <col min="1" max="1" width="8.1640625" customWidth="1"/>
    <col min="2" max="2" width="9.75" bestFit="1" customWidth="1"/>
    <col min="3" max="3" width="8.6640625" customWidth="1"/>
    <col min="4" max="4" width="5.6640625" bestFit="1" customWidth="1"/>
    <col min="5" max="5" width="7.25" customWidth="1"/>
    <col min="6" max="6" width="9.08203125" customWidth="1"/>
    <col min="7" max="7" width="8.5" customWidth="1"/>
    <col min="8" max="8" width="13" customWidth="1"/>
    <col min="9" max="9" width="7.9140625" customWidth="1"/>
    <col min="10" max="10" width="5.83203125" bestFit="1" customWidth="1"/>
    <col min="11" max="11" width="4.58203125" bestFit="1" customWidth="1"/>
    <col min="12" max="12" width="8.83203125" bestFit="1" customWidth="1"/>
    <col min="13" max="13" width="6.6640625" bestFit="1" customWidth="1"/>
    <col min="14" max="15" width="5.9140625" bestFit="1" customWidth="1"/>
    <col min="16" max="16" width="8.6640625" bestFit="1" customWidth="1"/>
    <col min="17" max="17" width="8.9140625" customWidth="1"/>
    <col min="18" max="18" width="10.4140625" bestFit="1" customWidth="1"/>
    <col min="19" max="19" width="8.08203125" bestFit="1" customWidth="1"/>
    <col min="20" max="20" width="7.75" customWidth="1"/>
  </cols>
  <sheetData>
    <row r="1" spans="1:20" ht="42" customHeight="1">
      <c r="A1" s="3" t="s">
        <v>25</v>
      </c>
      <c r="B1" s="3" t="s">
        <v>215</v>
      </c>
      <c r="C1" s="3" t="s">
        <v>216</v>
      </c>
      <c r="D1" s="3" t="s">
        <v>217</v>
      </c>
      <c r="E1" s="3" t="s">
        <v>218</v>
      </c>
      <c r="F1" s="3" t="s">
        <v>219</v>
      </c>
      <c r="G1" s="3" t="s">
        <v>220</v>
      </c>
      <c r="H1" s="3" t="s">
        <v>221</v>
      </c>
      <c r="I1" s="3" t="s">
        <v>222</v>
      </c>
      <c r="J1" s="3" t="s">
        <v>223</v>
      </c>
      <c r="K1" s="3" t="s">
        <v>224</v>
      </c>
      <c r="L1" s="3" t="s">
        <v>225</v>
      </c>
      <c r="M1" s="3" t="s">
        <v>226</v>
      </c>
      <c r="N1" s="3" t="s">
        <v>227</v>
      </c>
      <c r="O1" s="3" t="s">
        <v>228</v>
      </c>
      <c r="P1" s="3" t="s">
        <v>229</v>
      </c>
      <c r="Q1" s="3" t="s">
        <v>230</v>
      </c>
      <c r="R1" s="3" t="s">
        <v>231</v>
      </c>
      <c r="S1" s="3" t="s">
        <v>232</v>
      </c>
      <c r="T1" s="3" t="s">
        <v>233</v>
      </c>
    </row>
    <row r="2" spans="1:20">
      <c r="A2" s="43">
        <v>38115</v>
      </c>
      <c r="B2" s="39">
        <v>46142.75</v>
      </c>
      <c r="C2" s="24">
        <v>0.70099999999999996</v>
      </c>
      <c r="D2" s="26">
        <v>5.6</v>
      </c>
      <c r="E2" s="26">
        <v>12.7</v>
      </c>
      <c r="F2" s="24">
        <v>0.20499999999999999</v>
      </c>
      <c r="G2" s="24">
        <v>3.2000000000000001E-2</v>
      </c>
      <c r="H2" s="25">
        <v>3700000</v>
      </c>
      <c r="I2" s="24">
        <v>-0.124</v>
      </c>
      <c r="J2" s="26">
        <v>-25.7</v>
      </c>
      <c r="K2" s="26">
        <v>61.4</v>
      </c>
      <c r="L2" s="24">
        <v>0.53799999999999992</v>
      </c>
      <c r="M2" s="24">
        <v>0.59</v>
      </c>
      <c r="N2" s="24">
        <v>0.11900000000000001</v>
      </c>
      <c r="O2" s="24">
        <v>0.39600000000000002</v>
      </c>
      <c r="P2" s="24">
        <v>1.9E-2</v>
      </c>
      <c r="Q2" s="24">
        <v>0.121</v>
      </c>
      <c r="R2" s="24">
        <v>-4.2999999999999997E-2</v>
      </c>
    </row>
    <row r="3" spans="1:20">
      <c r="A3" s="43">
        <v>38117</v>
      </c>
      <c r="B3" s="39">
        <v>46142.75</v>
      </c>
      <c r="C3" s="24">
        <v>0.39899999999999997</v>
      </c>
      <c r="D3" s="26">
        <v>4.5999999999999996</v>
      </c>
      <c r="E3" s="26">
        <v>10.6</v>
      </c>
      <c r="F3" s="24">
        <v>0.29699999999999999</v>
      </c>
      <c r="G3" s="24">
        <v>0.11199999999999999</v>
      </c>
      <c r="H3" s="25">
        <v>3300000</v>
      </c>
      <c r="I3" s="24">
        <v>-0.255</v>
      </c>
      <c r="J3" s="26">
        <v>-41.1</v>
      </c>
      <c r="K3" s="26">
        <v>71.400000000000006</v>
      </c>
      <c r="L3" s="24">
        <v>0.60699999999999998</v>
      </c>
      <c r="M3" s="24">
        <v>0.66</v>
      </c>
      <c r="N3" s="24">
        <v>8.8000000000000009E-2</v>
      </c>
      <c r="O3" s="24">
        <v>0.41899999999999998</v>
      </c>
      <c r="P3" s="24">
        <v>0.03</v>
      </c>
      <c r="Q3" s="24">
        <v>-0.16300000000000001</v>
      </c>
      <c r="R3" s="24">
        <v>-0.16</v>
      </c>
    </row>
    <row r="4" spans="1:20">
      <c r="A4" s="43">
        <v>38119</v>
      </c>
      <c r="B4" s="39">
        <v>46142.75</v>
      </c>
      <c r="C4" s="24">
        <v>0.42899999999999999</v>
      </c>
      <c r="D4" s="26">
        <v>6.6</v>
      </c>
      <c r="E4" s="26">
        <v>15.3</v>
      </c>
      <c r="F4" s="24">
        <v>0.156</v>
      </c>
      <c r="G4" s="24">
        <v>6.0000000000000001E-3</v>
      </c>
      <c r="H4" s="25">
        <v>6000000</v>
      </c>
      <c r="I4" s="24">
        <v>-4.2999999999999997E-2</v>
      </c>
      <c r="J4" s="26">
        <v>-15.3</v>
      </c>
      <c r="K4" s="26">
        <v>61.5</v>
      </c>
      <c r="L4" s="24">
        <v>0.48599999999999999</v>
      </c>
      <c r="M4" s="24">
        <v>0.59</v>
      </c>
      <c r="N4" s="24">
        <v>0.128</v>
      </c>
      <c r="O4" s="24">
        <v>0.35600000000000004</v>
      </c>
      <c r="P4" s="24">
        <v>-2.4E-2</v>
      </c>
      <c r="Q4" s="24">
        <v>0.22800000000000001</v>
      </c>
      <c r="R4" s="24">
        <v>2.1000000000000001E-2</v>
      </c>
    </row>
    <row r="5" spans="1:20">
      <c r="A5" s="43">
        <v>38136</v>
      </c>
      <c r="B5" s="39">
        <v>46142.75</v>
      </c>
      <c r="C5" s="24">
        <v>0.42799999999999999</v>
      </c>
      <c r="D5" s="26">
        <v>5.3</v>
      </c>
      <c r="E5" s="26">
        <v>14.9</v>
      </c>
      <c r="F5" s="24">
        <v>0.16</v>
      </c>
      <c r="G5" s="24">
        <v>-2.1000000000000001E-2</v>
      </c>
      <c r="H5" s="25">
        <v>5500000</v>
      </c>
      <c r="I5" s="24">
        <v>1.6E-2</v>
      </c>
      <c r="J5" s="26">
        <v>-12.5</v>
      </c>
      <c r="K5" s="26">
        <v>74.5</v>
      </c>
      <c r="L5" s="24">
        <v>0.51400000000000001</v>
      </c>
      <c r="M5" s="24">
        <v>0.63</v>
      </c>
      <c r="N5" s="24">
        <v>9.8000000000000004E-2</v>
      </c>
      <c r="O5" s="24">
        <v>0.35499999999999998</v>
      </c>
      <c r="P5" s="24">
        <v>-1.3999999999999999E-2</v>
      </c>
      <c r="Q5" s="24">
        <v>0.184</v>
      </c>
      <c r="R5" s="24">
        <v>0.16800000000000001</v>
      </c>
    </row>
    <row r="6" spans="1:20">
      <c r="A6" s="43">
        <v>38142</v>
      </c>
      <c r="B6" s="39">
        <v>46142.75</v>
      </c>
      <c r="C6" s="24">
        <v>0.10300000000000001</v>
      </c>
      <c r="D6" s="26">
        <v>5.5</v>
      </c>
      <c r="E6" s="26">
        <v>13.1</v>
      </c>
      <c r="F6" s="24">
        <v>0.17600000000000002</v>
      </c>
      <c r="G6" s="24">
        <v>1.1000000000000001E-2</v>
      </c>
      <c r="H6" s="25">
        <v>5200000</v>
      </c>
      <c r="I6" s="24">
        <v>-0.10800000000000001</v>
      </c>
      <c r="J6" s="26">
        <v>-18.399999999999999</v>
      </c>
      <c r="K6" s="26">
        <v>67.3</v>
      </c>
      <c r="L6" s="24">
        <v>0.495</v>
      </c>
      <c r="M6" s="24">
        <v>0.56999999999999995</v>
      </c>
      <c r="N6" s="24">
        <v>0.13600000000000001</v>
      </c>
      <c r="O6" s="24">
        <v>0.35600000000000004</v>
      </c>
      <c r="P6" s="24">
        <v>-0.01</v>
      </c>
      <c r="Q6" s="24">
        <v>0.20300000000000001</v>
      </c>
      <c r="R6" s="24">
        <v>-8.0000000000000002E-3</v>
      </c>
    </row>
    <row r="7" spans="1:20">
      <c r="A7" s="43">
        <v>38149</v>
      </c>
      <c r="B7" s="39">
        <v>46142.75</v>
      </c>
      <c r="C7" s="24">
        <v>6.0999999999999999E-2</v>
      </c>
      <c r="D7" s="26">
        <v>5.9</v>
      </c>
      <c r="E7" s="26">
        <v>14.6</v>
      </c>
      <c r="F7" s="24">
        <v>0.17100000000000001</v>
      </c>
      <c r="G7" s="24">
        <v>5.0000000000000001E-3</v>
      </c>
      <c r="H7" s="25">
        <v>5400000</v>
      </c>
      <c r="I7" s="24">
        <v>-6.8000000000000005E-2</v>
      </c>
      <c r="J7" s="26">
        <v>-9.6</v>
      </c>
      <c r="K7" s="26">
        <v>71.3</v>
      </c>
      <c r="L7" s="24">
        <v>0.58799999999999997</v>
      </c>
      <c r="M7" s="24">
        <v>0.61</v>
      </c>
      <c r="N7" s="24">
        <v>0.12</v>
      </c>
      <c r="O7" s="24">
        <v>0.35299999999999998</v>
      </c>
      <c r="P7" s="24">
        <v>-1.7000000000000001E-2</v>
      </c>
      <c r="Q7" s="24">
        <v>0.20100000000000001</v>
      </c>
      <c r="R7" s="24">
        <v>2.7999999999999997E-2</v>
      </c>
    </row>
    <row r="8" spans="1:20">
      <c r="A8" s="43">
        <v>38176</v>
      </c>
      <c r="B8" s="39">
        <v>46142.75</v>
      </c>
      <c r="C8" s="24">
        <v>0.43200000000000005</v>
      </c>
      <c r="D8" s="26">
        <v>4.3</v>
      </c>
      <c r="E8" s="26">
        <v>10.8</v>
      </c>
      <c r="F8" s="24">
        <v>0.23800000000000002</v>
      </c>
      <c r="G8" s="24">
        <v>9.1999999999999998E-2</v>
      </c>
      <c r="H8" s="25">
        <v>4700000</v>
      </c>
      <c r="I8" s="24">
        <v>-0.54200000000000004</v>
      </c>
      <c r="J8" s="26">
        <v>-270.7</v>
      </c>
      <c r="K8" s="26">
        <v>63</v>
      </c>
      <c r="L8" s="24">
        <v>0.52</v>
      </c>
      <c r="M8" s="24">
        <v>0.62</v>
      </c>
      <c r="N8" s="24">
        <v>0.18</v>
      </c>
      <c r="O8" s="24">
        <v>0.371</v>
      </c>
      <c r="P8" s="24">
        <v>1.9E-2</v>
      </c>
      <c r="Q8" s="24">
        <v>6.9999999999999993E-3</v>
      </c>
      <c r="R8" s="24">
        <v>-0.27300000000000002</v>
      </c>
      <c r="S8" t="s">
        <v>237</v>
      </c>
      <c r="T8" t="s">
        <v>240</v>
      </c>
    </row>
    <row r="9" spans="1:20">
      <c r="A9" s="43">
        <v>38186</v>
      </c>
      <c r="B9" s="39">
        <v>46142.75</v>
      </c>
      <c r="C9" s="24">
        <v>0.66299999999999992</v>
      </c>
      <c r="D9" s="26">
        <v>5.9</v>
      </c>
      <c r="E9" s="26">
        <v>14.2</v>
      </c>
      <c r="F9" s="24">
        <v>0.159</v>
      </c>
      <c r="G9" s="24">
        <v>-1.1000000000000001E-2</v>
      </c>
      <c r="H9" s="25">
        <v>5300000</v>
      </c>
      <c r="I9" s="24">
        <v>-8.3000000000000004E-2</v>
      </c>
      <c r="J9" s="26">
        <v>-13.3</v>
      </c>
      <c r="K9" s="26">
        <v>82.8</v>
      </c>
      <c r="L9" s="24">
        <v>0.59899999999999998</v>
      </c>
      <c r="M9" s="24">
        <v>0.72</v>
      </c>
      <c r="N9" s="24">
        <v>0.10800000000000001</v>
      </c>
      <c r="O9" s="24">
        <v>0.36200000000000004</v>
      </c>
      <c r="P9" s="24">
        <v>-2E-3</v>
      </c>
      <c r="Q9" s="24">
        <v>0.16399999999999998</v>
      </c>
      <c r="R9" s="24">
        <v>0.02</v>
      </c>
    </row>
    <row r="10" spans="1:20">
      <c r="A10" s="43">
        <v>38197</v>
      </c>
      <c r="B10" s="39">
        <v>46142.75</v>
      </c>
      <c r="C10" s="24">
        <v>0.20100000000000001</v>
      </c>
      <c r="D10" s="26">
        <v>5.9</v>
      </c>
      <c r="E10" s="26">
        <v>14.9</v>
      </c>
      <c r="F10" s="24">
        <v>0.15</v>
      </c>
      <c r="G10" s="24">
        <v>-0.06</v>
      </c>
      <c r="H10" s="25">
        <v>8100000</v>
      </c>
      <c r="I10" s="24">
        <v>0.33600000000000002</v>
      </c>
      <c r="J10" s="26">
        <v>-35.1</v>
      </c>
      <c r="K10" s="26">
        <v>65.599999999999994</v>
      </c>
      <c r="L10" s="24">
        <v>0.51400000000000001</v>
      </c>
      <c r="M10" s="24">
        <v>0.59</v>
      </c>
      <c r="N10" s="24">
        <v>0.111</v>
      </c>
      <c r="O10" s="24">
        <v>0.34899999999999998</v>
      </c>
      <c r="P10" s="24">
        <v>6.0000000000000001E-3</v>
      </c>
      <c r="Q10" s="24">
        <v>0.22699999999999998</v>
      </c>
      <c r="R10" s="24">
        <v>3.7999999999999999E-2</v>
      </c>
    </row>
    <row r="11" spans="1:20">
      <c r="A11" s="43">
        <v>38205</v>
      </c>
      <c r="B11" s="39">
        <v>46142.75</v>
      </c>
      <c r="C11" s="24">
        <v>0.41499999999999998</v>
      </c>
      <c r="D11" s="26">
        <v>7.2</v>
      </c>
      <c r="E11" s="26">
        <v>17.100000000000001</v>
      </c>
      <c r="F11" s="24">
        <v>0.13200000000000001</v>
      </c>
      <c r="G11" s="24">
        <v>3.0000000000000001E-3</v>
      </c>
      <c r="H11" s="25">
        <v>9200000</v>
      </c>
      <c r="I11" s="24">
        <v>-8.1000000000000003E-2</v>
      </c>
      <c r="J11" s="26">
        <v>-37.700000000000003</v>
      </c>
      <c r="K11" s="26">
        <v>62.1</v>
      </c>
      <c r="L11" s="24">
        <v>0.44500000000000001</v>
      </c>
      <c r="M11" s="24">
        <v>0.53</v>
      </c>
      <c r="N11" s="24">
        <v>0.11199999999999999</v>
      </c>
      <c r="O11" s="24">
        <v>0.35799999999999998</v>
      </c>
      <c r="P11" s="24">
        <v>1.8000000000000002E-2</v>
      </c>
      <c r="Q11" s="24">
        <v>0.25700000000000001</v>
      </c>
      <c r="R11" s="24">
        <v>-2.8999999999999998E-2</v>
      </c>
    </row>
    <row r="12" spans="1:20">
      <c r="A12" s="43">
        <v>38207</v>
      </c>
      <c r="B12" s="39">
        <v>46142.75</v>
      </c>
      <c r="C12" s="24">
        <v>0.33899999999999997</v>
      </c>
      <c r="D12" s="26">
        <v>8.6</v>
      </c>
      <c r="E12" s="26">
        <v>18.2</v>
      </c>
      <c r="F12" s="24">
        <v>0.19</v>
      </c>
      <c r="G12" s="24">
        <v>-3.0000000000000001E-3</v>
      </c>
      <c r="H12" s="25">
        <v>3900000</v>
      </c>
      <c r="I12" s="24">
        <v>5.7000000000000002E-2</v>
      </c>
      <c r="J12" s="26">
        <v>-3.4</v>
      </c>
      <c r="K12" s="26">
        <v>79.7</v>
      </c>
      <c r="L12" s="24">
        <v>0.55200000000000005</v>
      </c>
      <c r="M12" s="24">
        <v>0.65</v>
      </c>
      <c r="N12" s="24">
        <v>2.2000000000000002E-2</v>
      </c>
      <c r="O12" s="24">
        <v>0.35499999999999998</v>
      </c>
      <c r="P12" s="24">
        <v>3.0000000000000001E-3</v>
      </c>
      <c r="Q12" s="24">
        <v>0.193</v>
      </c>
      <c r="R12" s="24">
        <v>0.04</v>
      </c>
    </row>
    <row r="13" spans="1:20">
      <c r="A13" s="43">
        <v>38230</v>
      </c>
      <c r="B13" s="39">
        <v>46142.75</v>
      </c>
      <c r="C13" s="24">
        <v>0.42700000000000005</v>
      </c>
      <c r="D13" s="26">
        <v>7.7</v>
      </c>
      <c r="E13" s="26">
        <v>14.1</v>
      </c>
      <c r="F13" s="24">
        <v>0.18600000000000003</v>
      </c>
      <c r="G13" s="24">
        <v>-2.3E-2</v>
      </c>
      <c r="H13" s="25">
        <v>4600000</v>
      </c>
      <c r="I13" s="24">
        <v>0.115</v>
      </c>
      <c r="J13" s="26">
        <v>12.2</v>
      </c>
      <c r="K13" s="26">
        <v>66.7</v>
      </c>
      <c r="L13" s="24">
        <v>0.55299999999999994</v>
      </c>
      <c r="M13" s="24">
        <v>0.67</v>
      </c>
      <c r="N13" s="24">
        <v>9.6999999999999989E-2</v>
      </c>
      <c r="O13" s="24">
        <v>0.34700000000000003</v>
      </c>
      <c r="P13" s="24">
        <v>-0.04</v>
      </c>
      <c r="Q13" s="24">
        <v>0.25800000000000001</v>
      </c>
      <c r="R13" s="24">
        <v>0.11699999999999999</v>
      </c>
    </row>
    <row r="14" spans="1:20">
      <c r="A14" s="43">
        <v>38266</v>
      </c>
      <c r="B14" s="39">
        <v>46142.75</v>
      </c>
      <c r="C14" s="24">
        <v>0.46</v>
      </c>
      <c r="D14" s="26">
        <v>6.5</v>
      </c>
      <c r="E14" s="26">
        <v>16.7</v>
      </c>
      <c r="F14" s="24">
        <v>0.17199999999999999</v>
      </c>
      <c r="G14" s="24">
        <v>8.0000000000000002E-3</v>
      </c>
      <c r="H14" s="25">
        <v>5200000</v>
      </c>
      <c r="I14" s="24">
        <v>-0.11599999999999999</v>
      </c>
      <c r="J14" s="26">
        <v>-36.5</v>
      </c>
      <c r="K14" s="26">
        <v>61.1</v>
      </c>
      <c r="L14" s="24">
        <v>0.47100000000000003</v>
      </c>
      <c r="M14" s="24">
        <v>0.6</v>
      </c>
      <c r="N14" s="24">
        <v>0.19899999999999998</v>
      </c>
      <c r="O14" s="24">
        <v>0.41899999999999998</v>
      </c>
      <c r="P14" s="24">
        <v>5.2000000000000005E-2</v>
      </c>
      <c r="Q14" s="24">
        <v>0.11699999999999999</v>
      </c>
      <c r="R14" s="24">
        <v>-6.3E-2</v>
      </c>
    </row>
    <row r="15" spans="1:20">
      <c r="A15" s="43">
        <v>38270</v>
      </c>
      <c r="B15" s="39">
        <v>46142.75</v>
      </c>
      <c r="C15" s="24">
        <v>0.27200000000000002</v>
      </c>
      <c r="D15" s="26">
        <v>5.7</v>
      </c>
      <c r="E15" s="26">
        <v>14</v>
      </c>
      <c r="F15" s="24">
        <v>0.19</v>
      </c>
      <c r="G15" s="24">
        <v>0.01</v>
      </c>
      <c r="H15" s="25">
        <v>4300000</v>
      </c>
      <c r="I15" s="24">
        <v>-8.5999999999999993E-2</v>
      </c>
      <c r="J15" s="26">
        <v>-14.5</v>
      </c>
      <c r="K15" s="26">
        <v>84.1</v>
      </c>
      <c r="L15" s="24">
        <v>0.50900000000000001</v>
      </c>
      <c r="M15" s="24">
        <v>0.71</v>
      </c>
      <c r="N15" s="24">
        <v>0.159</v>
      </c>
      <c r="O15" s="24">
        <v>0.36399999999999999</v>
      </c>
      <c r="P15" s="24">
        <v>1.7000000000000001E-2</v>
      </c>
      <c r="Q15" s="24">
        <v>9.6999999999999989E-2</v>
      </c>
      <c r="R15" s="24">
        <v>-2.5000000000000001E-2</v>
      </c>
    </row>
    <row r="16" spans="1:20">
      <c r="A16" s="43">
        <v>38333</v>
      </c>
      <c r="B16" s="39">
        <v>46142.75</v>
      </c>
      <c r="C16" s="24">
        <v>0.217</v>
      </c>
      <c r="D16" s="26">
        <v>6.8</v>
      </c>
      <c r="E16" s="26">
        <v>17.399999999999999</v>
      </c>
      <c r="F16" s="24">
        <v>0.13500000000000001</v>
      </c>
      <c r="G16" s="24">
        <v>-1E-3</v>
      </c>
      <c r="H16" s="25">
        <v>9400000</v>
      </c>
      <c r="I16" s="24">
        <v>-8.5000000000000006E-2</v>
      </c>
      <c r="J16" s="26">
        <v>-37.200000000000003</v>
      </c>
      <c r="K16" s="26">
        <v>62.6</v>
      </c>
      <c r="L16" s="24">
        <v>0.46399999999999997</v>
      </c>
      <c r="M16" s="24">
        <v>0.6</v>
      </c>
      <c r="N16" s="24">
        <v>0.111</v>
      </c>
      <c r="O16" s="24">
        <v>0.34899999999999998</v>
      </c>
      <c r="P16" s="24">
        <v>-9.0000000000000011E-3</v>
      </c>
      <c r="Q16" s="24">
        <v>0.253</v>
      </c>
      <c r="R16" s="24">
        <v>-3.0000000000000001E-3</v>
      </c>
    </row>
    <row r="17" spans="1:20">
      <c r="A17" s="43">
        <v>38339</v>
      </c>
      <c r="B17" s="39">
        <v>46142.75</v>
      </c>
      <c r="C17" s="24">
        <v>0.29600000000000004</v>
      </c>
      <c r="D17" s="26">
        <v>5.9</v>
      </c>
      <c r="E17" s="26">
        <v>15.2</v>
      </c>
      <c r="F17" s="24">
        <v>0.13699999999999998</v>
      </c>
      <c r="G17" s="24">
        <v>0.01</v>
      </c>
      <c r="H17" s="25">
        <v>8300000.0000000009</v>
      </c>
      <c r="I17" s="24">
        <v>-8.3000000000000004E-2</v>
      </c>
      <c r="J17" s="26">
        <v>-25.1</v>
      </c>
      <c r="K17" s="26">
        <v>71.2</v>
      </c>
      <c r="L17" s="24">
        <v>0.53600000000000003</v>
      </c>
      <c r="M17" s="24">
        <v>0.66</v>
      </c>
      <c r="N17" s="24">
        <v>0.11900000000000001</v>
      </c>
      <c r="O17" s="24">
        <v>0.35299999999999998</v>
      </c>
      <c r="P17" s="24">
        <v>9.0000000000000011E-3</v>
      </c>
      <c r="Q17" s="24">
        <v>0.254</v>
      </c>
      <c r="R17" s="24">
        <v>-1.3000000000000001E-2</v>
      </c>
    </row>
    <row r="18" spans="1:20">
      <c r="A18" s="43">
        <v>38363</v>
      </c>
      <c r="B18" s="39">
        <v>46142.75</v>
      </c>
      <c r="C18" s="24">
        <v>0.50700000000000001</v>
      </c>
      <c r="D18" s="26">
        <v>6.5</v>
      </c>
      <c r="E18" s="26">
        <v>15.5</v>
      </c>
      <c r="F18" s="24">
        <v>0.156</v>
      </c>
      <c r="G18" s="24">
        <v>1.4999999999999999E-2</v>
      </c>
      <c r="H18" s="25">
        <v>7900000</v>
      </c>
      <c r="I18" s="24">
        <v>-3.6000000000000004E-2</v>
      </c>
      <c r="J18" s="26">
        <v>9.6999999999999993</v>
      </c>
      <c r="K18" s="26">
        <v>66</v>
      </c>
      <c r="L18" s="24">
        <v>0.41700000000000004</v>
      </c>
      <c r="M18" s="24">
        <v>0.5</v>
      </c>
      <c r="N18" s="24">
        <v>9.9000000000000005E-2</v>
      </c>
      <c r="O18" s="24">
        <v>0.34200000000000003</v>
      </c>
      <c r="P18" s="24">
        <v>-8.0000000000000002E-3</v>
      </c>
      <c r="Q18" s="24">
        <v>0.255</v>
      </c>
      <c r="R18" s="24">
        <v>-6.9999999999999993E-3</v>
      </c>
    </row>
    <row r="19" spans="1:20">
      <c r="A19" s="43">
        <v>38368</v>
      </c>
      <c r="B19" s="39">
        <v>46142.75</v>
      </c>
      <c r="C19" s="24">
        <v>0.32899999999999996</v>
      </c>
      <c r="D19" s="26">
        <v>6.7</v>
      </c>
      <c r="E19" s="26">
        <v>16.100000000000001</v>
      </c>
      <c r="F19" s="24">
        <v>0.14300000000000002</v>
      </c>
      <c r="G19" s="24">
        <v>1.3999999999999999E-2</v>
      </c>
      <c r="H19" s="25">
        <v>8300000.0000000009</v>
      </c>
      <c r="I19" s="24">
        <v>-0.10199999999999999</v>
      </c>
      <c r="J19" s="26">
        <v>1.7</v>
      </c>
      <c r="K19" s="26">
        <v>68.5</v>
      </c>
      <c r="L19" s="24">
        <v>0.47399999999999998</v>
      </c>
      <c r="M19" s="24">
        <v>0.62</v>
      </c>
      <c r="N19" s="24">
        <v>7.400000000000001E-2</v>
      </c>
      <c r="O19" s="24">
        <v>0.34700000000000003</v>
      </c>
      <c r="P19" s="24">
        <v>-6.9999999999999993E-3</v>
      </c>
      <c r="Q19" s="24">
        <v>0.27200000000000002</v>
      </c>
      <c r="R19" s="24">
        <v>-2.1000000000000001E-2</v>
      </c>
    </row>
    <row r="20" spans="1:20">
      <c r="A20" s="43">
        <v>38371</v>
      </c>
      <c r="B20" s="39">
        <v>46142.75</v>
      </c>
      <c r="C20" s="24">
        <v>0.28199999999999997</v>
      </c>
      <c r="D20" s="26">
        <v>7.1</v>
      </c>
      <c r="E20" s="26">
        <v>18</v>
      </c>
      <c r="F20" s="24">
        <v>0.121</v>
      </c>
      <c r="G20" s="24">
        <v>-3.3000000000000002E-2</v>
      </c>
      <c r="H20" s="25">
        <v>16600000.000000002</v>
      </c>
      <c r="I20" s="24">
        <v>0.182</v>
      </c>
      <c r="J20" s="26">
        <v>-51.4</v>
      </c>
      <c r="K20" s="26">
        <v>64.3</v>
      </c>
      <c r="L20" s="24">
        <v>0.44500000000000001</v>
      </c>
      <c r="M20" s="24">
        <v>0.57999999999999996</v>
      </c>
      <c r="N20" s="24">
        <v>0.14300000000000002</v>
      </c>
      <c r="O20" s="24">
        <v>0.376</v>
      </c>
      <c r="P20" s="24">
        <v>3.1E-2</v>
      </c>
      <c r="Q20" s="24">
        <v>0.254</v>
      </c>
      <c r="R20" s="24">
        <v>3.7999999999999999E-2</v>
      </c>
      <c r="S20" t="s">
        <v>236</v>
      </c>
      <c r="T20" t="s">
        <v>237</v>
      </c>
    </row>
    <row r="21" spans="1:20">
      <c r="A21" s="43">
        <v>38374</v>
      </c>
      <c r="B21" s="39">
        <v>46142.75</v>
      </c>
      <c r="C21" s="24">
        <v>0.17800000000000002</v>
      </c>
      <c r="D21" s="26">
        <v>5.2</v>
      </c>
      <c r="E21" s="26">
        <v>12.5</v>
      </c>
      <c r="F21" s="24">
        <v>0.188</v>
      </c>
      <c r="G21" s="24">
        <v>2.4E-2</v>
      </c>
      <c r="H21" s="25">
        <v>4099999.9999999995</v>
      </c>
      <c r="I21" s="24">
        <v>-0.109</v>
      </c>
      <c r="J21" s="26">
        <v>-10.199999999999999</v>
      </c>
      <c r="K21" s="26">
        <v>68.099999999999994</v>
      </c>
      <c r="L21" s="24">
        <v>0.56600000000000006</v>
      </c>
      <c r="M21" s="24">
        <v>0.65</v>
      </c>
      <c r="N21" s="24">
        <v>0.121</v>
      </c>
      <c r="O21" s="24">
        <v>0.37</v>
      </c>
      <c r="P21" s="24">
        <v>-1.3000000000000001E-2</v>
      </c>
      <c r="Q21" s="24">
        <v>0.16800000000000001</v>
      </c>
      <c r="R21" s="24">
        <v>-5.0000000000000001E-3</v>
      </c>
    </row>
    <row r="22" spans="1:20">
      <c r="A22" s="43">
        <v>38394</v>
      </c>
      <c r="B22" s="39">
        <v>46142.75</v>
      </c>
      <c r="C22" s="24">
        <v>2.3E-2</v>
      </c>
      <c r="D22" s="26">
        <v>5.8</v>
      </c>
      <c r="E22" s="26">
        <v>12.7</v>
      </c>
      <c r="F22" s="24">
        <v>0.19</v>
      </c>
      <c r="G22" s="24">
        <v>4.0000000000000001E-3</v>
      </c>
      <c r="H22" s="25">
        <v>4300000</v>
      </c>
      <c r="I22" s="24">
        <v>-7.6999999999999999E-2</v>
      </c>
      <c r="J22" s="26">
        <v>-20.5</v>
      </c>
      <c r="K22" s="26">
        <v>77.7</v>
      </c>
      <c r="L22" s="24">
        <v>0.51400000000000001</v>
      </c>
      <c r="M22" s="24">
        <v>0.63</v>
      </c>
      <c r="N22" s="24">
        <v>0.107</v>
      </c>
      <c r="O22" s="24">
        <v>0.40100000000000002</v>
      </c>
      <c r="P22" s="24">
        <v>1.2E-2</v>
      </c>
      <c r="Q22" s="24">
        <v>0.114</v>
      </c>
      <c r="R22" s="24">
        <v>-2.4E-2</v>
      </c>
    </row>
    <row r="23" spans="1:20">
      <c r="A23" s="43">
        <v>38401</v>
      </c>
      <c r="B23" s="39">
        <v>46142.75</v>
      </c>
      <c r="C23" s="24">
        <v>0.32700000000000001</v>
      </c>
      <c r="D23" s="26">
        <v>5.7</v>
      </c>
      <c r="E23" s="26">
        <v>14.9</v>
      </c>
      <c r="F23" s="24">
        <v>0.16200000000000001</v>
      </c>
      <c r="G23" s="24">
        <v>1.3000000000000001E-2</v>
      </c>
      <c r="H23" s="25">
        <v>4400000</v>
      </c>
      <c r="I23" s="24">
        <v>-8.8000000000000009E-2</v>
      </c>
      <c r="J23" s="26">
        <v>-18.5</v>
      </c>
      <c r="K23" s="26">
        <v>89.9</v>
      </c>
      <c r="L23" s="24">
        <v>0.69700000000000006</v>
      </c>
      <c r="M23" s="24">
        <v>0.75</v>
      </c>
      <c r="N23" s="24">
        <v>0.14599999999999999</v>
      </c>
      <c r="O23" s="24">
        <v>0.36700000000000005</v>
      </c>
      <c r="P23" s="24">
        <v>-8.0000000000000002E-3</v>
      </c>
      <c r="Q23" s="24">
        <v>0.16399999999999998</v>
      </c>
      <c r="R23" s="24">
        <v>-3.7000000000000005E-2</v>
      </c>
    </row>
    <row r="24" spans="1:20">
      <c r="A24" s="43">
        <v>38411</v>
      </c>
      <c r="B24" s="39">
        <v>46142.75</v>
      </c>
      <c r="C24" s="24">
        <v>0.17100000000000001</v>
      </c>
      <c r="D24" s="26">
        <v>6.3</v>
      </c>
      <c r="E24" s="26">
        <v>16.3</v>
      </c>
      <c r="F24" s="24">
        <v>0.14099999999999999</v>
      </c>
      <c r="G24" s="24">
        <v>1.3999999999999999E-2</v>
      </c>
      <c r="H24" s="25">
        <v>8500000</v>
      </c>
      <c r="I24" s="24">
        <v>-0.14099999999999999</v>
      </c>
      <c r="J24" s="26">
        <v>-55.2</v>
      </c>
      <c r="K24" s="26">
        <v>69.7</v>
      </c>
      <c r="L24" s="24">
        <v>0.55299999999999994</v>
      </c>
      <c r="M24" s="24">
        <v>0.64</v>
      </c>
      <c r="N24" s="24">
        <v>0.21199999999999999</v>
      </c>
      <c r="O24" s="24">
        <v>0.36799999999999999</v>
      </c>
      <c r="P24" s="24">
        <v>2.4E-2</v>
      </c>
      <c r="Q24" s="24">
        <v>0.22600000000000001</v>
      </c>
      <c r="R24" s="24">
        <v>-5.5E-2</v>
      </c>
    </row>
    <row r="25" spans="1:20">
      <c r="A25" s="43">
        <v>38427</v>
      </c>
      <c r="B25" s="39">
        <v>46142.75</v>
      </c>
      <c r="C25" s="24">
        <v>0.247</v>
      </c>
      <c r="D25" s="26">
        <v>6</v>
      </c>
      <c r="E25" s="26">
        <v>14.4</v>
      </c>
      <c r="F25" s="24">
        <v>0.161</v>
      </c>
      <c r="G25" s="24">
        <v>2.2000000000000002E-2</v>
      </c>
      <c r="H25" s="25">
        <v>8199999.9999999991</v>
      </c>
      <c r="I25" s="24">
        <v>-0.109</v>
      </c>
      <c r="J25" s="26">
        <v>-7.2</v>
      </c>
      <c r="K25" s="26">
        <v>74.099999999999994</v>
      </c>
      <c r="L25" s="24">
        <v>0.46299999999999997</v>
      </c>
      <c r="M25" s="24">
        <v>0.66</v>
      </c>
      <c r="N25" s="24">
        <v>0.05</v>
      </c>
      <c r="O25" s="24">
        <v>0.33799999999999997</v>
      </c>
      <c r="P25" s="24">
        <v>-2.7999999999999997E-2</v>
      </c>
      <c r="Q25" s="24">
        <v>0.251</v>
      </c>
      <c r="R25" s="24">
        <v>5.5999999999999994E-2</v>
      </c>
    </row>
    <row r="26" spans="1:20">
      <c r="A26" s="43">
        <v>38431</v>
      </c>
      <c r="B26" s="39">
        <v>46142.75</v>
      </c>
      <c r="C26" s="24">
        <v>0.42100000000000004</v>
      </c>
      <c r="D26" s="26">
        <v>7</v>
      </c>
      <c r="E26" s="26">
        <v>17</v>
      </c>
      <c r="F26" s="24">
        <v>0.14899999999999999</v>
      </c>
      <c r="G26" s="24">
        <v>-1.4999999999999999E-2</v>
      </c>
      <c r="H26" s="25">
        <v>6400000</v>
      </c>
      <c r="I26" s="24">
        <v>5.0000000000000001E-3</v>
      </c>
      <c r="J26" s="26">
        <v>-20.8</v>
      </c>
      <c r="K26" s="26">
        <v>71.099999999999994</v>
      </c>
      <c r="L26" s="24">
        <v>0.46500000000000002</v>
      </c>
      <c r="M26" s="24">
        <v>0.66</v>
      </c>
      <c r="N26" s="24">
        <v>7.9000000000000001E-2</v>
      </c>
      <c r="O26" s="24">
        <v>0.39600000000000002</v>
      </c>
      <c r="P26" s="24">
        <v>3.5000000000000003E-2</v>
      </c>
      <c r="Q26" s="24">
        <v>0.129</v>
      </c>
      <c r="R26" s="24">
        <v>-3.4000000000000002E-2</v>
      </c>
    </row>
    <row r="27" spans="1:20">
      <c r="A27" s="43">
        <v>38442</v>
      </c>
      <c r="B27" s="39">
        <v>46142.75</v>
      </c>
      <c r="C27" s="24">
        <v>0.55799999999999994</v>
      </c>
      <c r="D27" s="26">
        <v>5.9</v>
      </c>
      <c r="E27" s="26">
        <v>15.1</v>
      </c>
      <c r="F27" s="24">
        <v>0.14300000000000002</v>
      </c>
      <c r="G27" s="24">
        <v>6.9999999999999993E-3</v>
      </c>
      <c r="H27" s="25">
        <v>8600000</v>
      </c>
      <c r="I27" s="24">
        <v>-2E-3</v>
      </c>
      <c r="J27" s="26">
        <v>-28.2</v>
      </c>
      <c r="K27" s="26">
        <v>78.8</v>
      </c>
      <c r="L27" s="24">
        <v>0.59399999999999997</v>
      </c>
      <c r="M27" s="24">
        <v>0.71</v>
      </c>
      <c r="N27" s="24">
        <v>0.1</v>
      </c>
      <c r="O27" s="24">
        <v>0.35</v>
      </c>
      <c r="P27" s="24">
        <v>-2.4E-2</v>
      </c>
      <c r="Q27" s="24">
        <v>0.26100000000000001</v>
      </c>
      <c r="R27" s="24">
        <v>0.03</v>
      </c>
    </row>
    <row r="28" spans="1:20">
      <c r="A28" s="43">
        <v>38456</v>
      </c>
      <c r="B28" s="39">
        <v>46142.75</v>
      </c>
      <c r="C28" s="24">
        <v>0.33200000000000002</v>
      </c>
      <c r="D28" s="26">
        <v>6</v>
      </c>
      <c r="E28" s="26">
        <v>15.8</v>
      </c>
      <c r="F28" s="24">
        <v>0.14599999999999999</v>
      </c>
      <c r="G28" s="24">
        <v>-1.3999999999999999E-2</v>
      </c>
      <c r="H28" s="25">
        <v>6300000</v>
      </c>
      <c r="I28" s="24">
        <v>2.4E-2</v>
      </c>
      <c r="J28" s="26">
        <v>-27.1</v>
      </c>
      <c r="K28" s="26">
        <v>75.2</v>
      </c>
      <c r="L28" s="24">
        <v>0.57700000000000007</v>
      </c>
      <c r="M28" s="24">
        <v>0.73</v>
      </c>
      <c r="N28" s="24">
        <v>0.17100000000000001</v>
      </c>
      <c r="O28" s="24">
        <v>0.35100000000000003</v>
      </c>
      <c r="P28" s="24">
        <v>-2E-3</v>
      </c>
      <c r="Q28" s="24">
        <v>0.26</v>
      </c>
      <c r="R28" s="24">
        <v>2.7999999999999997E-2</v>
      </c>
    </row>
    <row r="29" spans="1:20">
      <c r="A29" s="43">
        <v>38458</v>
      </c>
      <c r="B29" s="39">
        <v>46142.75</v>
      </c>
      <c r="C29" s="24">
        <v>0.33100000000000002</v>
      </c>
      <c r="D29" s="26">
        <v>7.8</v>
      </c>
      <c r="E29" s="26">
        <v>16.7</v>
      </c>
      <c r="F29" s="24">
        <v>0.14000000000000001</v>
      </c>
      <c r="G29" s="24">
        <v>-4.0000000000000001E-3</v>
      </c>
      <c r="H29" s="25">
        <v>6700000</v>
      </c>
      <c r="I29" s="24">
        <v>0</v>
      </c>
      <c r="J29" s="26">
        <v>-17.100000000000001</v>
      </c>
      <c r="K29" s="26">
        <v>58.5</v>
      </c>
      <c r="L29" s="24">
        <v>0.44299999999999995</v>
      </c>
      <c r="M29" s="24">
        <v>0.57999999999999996</v>
      </c>
      <c r="N29" s="24">
        <v>4.0999999999999995E-2</v>
      </c>
      <c r="O29" s="24">
        <v>0.37799999999999995</v>
      </c>
      <c r="P29" s="24">
        <v>2.7000000000000003E-2</v>
      </c>
      <c r="Q29" s="24">
        <v>0.22899999999999998</v>
      </c>
      <c r="R29" s="24">
        <v>-2.6000000000000002E-2</v>
      </c>
    </row>
    <row r="30" spans="1:20">
      <c r="A30" s="43">
        <v>38460</v>
      </c>
      <c r="B30" s="39">
        <v>46142.75</v>
      </c>
      <c r="C30" s="24">
        <v>0.14199999999999999</v>
      </c>
      <c r="D30" s="26">
        <v>5.3</v>
      </c>
      <c r="E30" s="26">
        <v>13.4</v>
      </c>
      <c r="F30" s="24">
        <v>0.161</v>
      </c>
      <c r="G30" s="24">
        <v>-8.0000000000000002E-3</v>
      </c>
      <c r="H30" s="25">
        <v>5600000</v>
      </c>
      <c r="I30" s="24">
        <v>-2E-3</v>
      </c>
      <c r="J30" s="26">
        <v>-7.7</v>
      </c>
      <c r="K30" s="26">
        <v>80.099999999999994</v>
      </c>
      <c r="L30" s="24">
        <v>0.61099999999999999</v>
      </c>
      <c r="M30" s="24">
        <v>0.64</v>
      </c>
      <c r="N30" s="24">
        <v>7.2999999999999995E-2</v>
      </c>
      <c r="O30" s="24">
        <v>0.36599999999999999</v>
      </c>
      <c r="P30" s="24">
        <v>2E-3</v>
      </c>
      <c r="Q30" s="24">
        <v>0.158</v>
      </c>
      <c r="R30" s="24">
        <v>2.2000000000000002E-2</v>
      </c>
    </row>
    <row r="31" spans="1:20">
      <c r="A31" s="43">
        <v>38475</v>
      </c>
      <c r="B31" s="39">
        <v>46142.75</v>
      </c>
      <c r="C31" s="24">
        <v>0.70299999999999996</v>
      </c>
      <c r="D31" s="26">
        <v>7</v>
      </c>
      <c r="E31" s="26">
        <v>16.899999999999999</v>
      </c>
      <c r="F31" s="24">
        <v>0.157</v>
      </c>
      <c r="G31" s="24">
        <v>5.0000000000000001E-3</v>
      </c>
      <c r="H31" s="25">
        <v>7800000</v>
      </c>
      <c r="I31" s="24">
        <v>-5.5E-2</v>
      </c>
      <c r="J31" s="26">
        <v>-1.4</v>
      </c>
      <c r="K31" s="26">
        <v>65.8</v>
      </c>
      <c r="L31" s="24">
        <v>0.48399999999999999</v>
      </c>
      <c r="M31" s="24">
        <v>0.56000000000000005</v>
      </c>
      <c r="N31" s="24">
        <v>0.113</v>
      </c>
      <c r="O31" s="24">
        <v>0.37799999999999995</v>
      </c>
      <c r="P31" s="24">
        <v>-6.0000000000000001E-3</v>
      </c>
      <c r="Q31" s="24">
        <v>0.23100000000000001</v>
      </c>
      <c r="R31" s="24">
        <v>-6.0000000000000001E-3</v>
      </c>
    </row>
    <row r="32" spans="1:20">
      <c r="A32" s="43">
        <v>38507</v>
      </c>
      <c r="B32" s="39">
        <v>46142.75</v>
      </c>
      <c r="C32" s="24">
        <v>0.55899999999999994</v>
      </c>
      <c r="D32" s="26">
        <v>4.9000000000000004</v>
      </c>
      <c r="E32" s="26">
        <v>11.7</v>
      </c>
      <c r="F32" s="24">
        <v>0.24100000000000002</v>
      </c>
      <c r="G32" s="24">
        <v>5.5999999999999994E-2</v>
      </c>
      <c r="H32" s="25">
        <v>3500000</v>
      </c>
      <c r="I32" s="24">
        <v>-0.08</v>
      </c>
      <c r="J32" s="26">
        <v>-19.8</v>
      </c>
      <c r="K32" s="26">
        <v>71.8</v>
      </c>
      <c r="L32" s="24">
        <v>0.61</v>
      </c>
      <c r="M32" s="24">
        <v>0.57999999999999996</v>
      </c>
      <c r="N32" s="24">
        <v>0.11800000000000001</v>
      </c>
      <c r="O32" s="24">
        <v>0.38799999999999996</v>
      </c>
      <c r="P32" s="24">
        <v>1.1000000000000001E-2</v>
      </c>
      <c r="Q32" s="24">
        <v>7.0999999999999994E-2</v>
      </c>
      <c r="R32" s="24">
        <v>-0.06</v>
      </c>
    </row>
    <row r="33" spans="1:20">
      <c r="A33" s="43">
        <v>38515</v>
      </c>
      <c r="B33" s="39">
        <v>46142.75</v>
      </c>
      <c r="C33" s="24">
        <v>0.34299999999999997</v>
      </c>
      <c r="D33" s="26">
        <v>6</v>
      </c>
      <c r="E33" s="26">
        <v>16.100000000000001</v>
      </c>
      <c r="F33" s="24">
        <v>0.15</v>
      </c>
      <c r="G33" s="24">
        <v>-1.6E-2</v>
      </c>
      <c r="H33" s="25">
        <v>7200000</v>
      </c>
      <c r="I33" s="24">
        <v>3.4000000000000002E-2</v>
      </c>
      <c r="J33" s="26">
        <v>2.5</v>
      </c>
      <c r="K33" s="26">
        <v>74.2</v>
      </c>
      <c r="L33" s="24">
        <v>0.56799999999999995</v>
      </c>
      <c r="M33" s="24">
        <v>0.59</v>
      </c>
      <c r="N33" s="24">
        <v>0.124</v>
      </c>
      <c r="O33" s="24">
        <v>0.374</v>
      </c>
      <c r="P33" s="24">
        <v>-1.3999999999999999E-2</v>
      </c>
      <c r="Q33" s="24">
        <v>0.20300000000000001</v>
      </c>
      <c r="R33" s="24">
        <v>2.6000000000000002E-2</v>
      </c>
    </row>
    <row r="34" spans="1:20">
      <c r="A34" s="43">
        <v>38527</v>
      </c>
      <c r="B34" s="39">
        <v>46142.75</v>
      </c>
      <c r="C34" s="24">
        <v>0.3</v>
      </c>
      <c r="D34" s="26">
        <v>6.8</v>
      </c>
      <c r="E34" s="26">
        <v>16.7</v>
      </c>
      <c r="F34" s="24">
        <v>0.129</v>
      </c>
      <c r="G34" s="24">
        <v>-6.5000000000000002E-2</v>
      </c>
      <c r="H34" s="25">
        <v>12700000</v>
      </c>
      <c r="I34" s="24">
        <v>0.41899999999999998</v>
      </c>
      <c r="J34" s="26">
        <v>-4.5</v>
      </c>
      <c r="K34" s="26">
        <v>52.5</v>
      </c>
      <c r="L34" s="24">
        <v>0.39200000000000002</v>
      </c>
      <c r="M34" s="24">
        <v>0.47</v>
      </c>
      <c r="N34" s="24">
        <v>7.9000000000000001E-2</v>
      </c>
      <c r="O34" s="24">
        <v>0.35499999999999998</v>
      </c>
      <c r="P34" s="24">
        <v>0.02</v>
      </c>
      <c r="Q34" s="24">
        <v>0.29799999999999999</v>
      </c>
      <c r="R34" s="24">
        <v>4.5999999999999999E-2</v>
      </c>
      <c r="S34" t="s">
        <v>234</v>
      </c>
      <c r="T34" t="s">
        <v>235</v>
      </c>
    </row>
    <row r="35" spans="1:20">
      <c r="A35" s="43">
        <v>38529</v>
      </c>
      <c r="B35" s="39">
        <v>46142.75</v>
      </c>
      <c r="C35" s="24">
        <v>0.29499999999999998</v>
      </c>
      <c r="D35" s="26">
        <v>6.5</v>
      </c>
      <c r="E35" s="26">
        <v>16.7</v>
      </c>
      <c r="F35" s="24">
        <v>0.13900000000000001</v>
      </c>
      <c r="G35" s="24">
        <v>-2E-3</v>
      </c>
      <c r="H35" s="25">
        <v>7600000</v>
      </c>
      <c r="I35" s="24">
        <v>-7.9000000000000001E-2</v>
      </c>
      <c r="J35" s="26">
        <v>-25.4</v>
      </c>
      <c r="K35" s="26">
        <v>67.8</v>
      </c>
      <c r="L35" s="24">
        <v>0.49099999999999999</v>
      </c>
      <c r="M35" s="24">
        <v>0.57999999999999996</v>
      </c>
      <c r="N35" s="24">
        <v>6.0999999999999999E-2</v>
      </c>
      <c r="O35" s="24">
        <v>0.377</v>
      </c>
      <c r="P35" s="24">
        <v>0.01</v>
      </c>
      <c r="Q35" s="24">
        <v>0.25700000000000001</v>
      </c>
      <c r="R35" s="24">
        <v>-6.0000000000000001E-3</v>
      </c>
    </row>
    <row r="36" spans="1:20">
      <c r="A36" s="43">
        <v>38535</v>
      </c>
      <c r="B36" s="39">
        <v>46142.75</v>
      </c>
      <c r="C36" s="24">
        <v>0.82</v>
      </c>
      <c r="D36" s="26">
        <v>6.6</v>
      </c>
      <c r="E36" s="26">
        <v>15.7</v>
      </c>
      <c r="F36" s="24">
        <v>0.14000000000000001</v>
      </c>
      <c r="G36" s="24">
        <v>6.9999999999999993E-3</v>
      </c>
      <c r="H36" s="25">
        <v>14000000</v>
      </c>
      <c r="I36" s="24">
        <v>-0.05</v>
      </c>
      <c r="J36" s="26">
        <v>22.3</v>
      </c>
      <c r="K36" s="26">
        <v>51.2</v>
      </c>
      <c r="L36" s="24">
        <v>0.47700000000000004</v>
      </c>
      <c r="M36" s="24">
        <v>0.5</v>
      </c>
      <c r="N36" s="24">
        <v>0.127</v>
      </c>
      <c r="O36" s="24">
        <v>0.33</v>
      </c>
      <c r="P36" s="24">
        <v>-3.9E-2</v>
      </c>
      <c r="Q36" s="24">
        <v>0.312</v>
      </c>
      <c r="R36" s="24">
        <v>2.5000000000000001E-2</v>
      </c>
      <c r="S36" t="s">
        <v>243</v>
      </c>
      <c r="T36" t="s">
        <v>244</v>
      </c>
    </row>
    <row r="37" spans="1:20">
      <c r="A37" s="43">
        <v>38546</v>
      </c>
      <c r="B37" s="39">
        <v>46142.75</v>
      </c>
      <c r="C37" s="24">
        <v>0.23</v>
      </c>
      <c r="D37" s="26">
        <v>6.8</v>
      </c>
      <c r="E37" s="26">
        <v>16.3</v>
      </c>
      <c r="F37" s="24">
        <v>0.14400000000000002</v>
      </c>
      <c r="G37" s="24">
        <v>0</v>
      </c>
      <c r="H37" s="25">
        <v>8500000</v>
      </c>
      <c r="I37" s="24">
        <v>-3.7000000000000005E-2</v>
      </c>
      <c r="J37" s="26">
        <v>-42</v>
      </c>
      <c r="K37" s="26">
        <v>67.2</v>
      </c>
      <c r="L37" s="24">
        <v>0.52600000000000002</v>
      </c>
      <c r="M37" s="24">
        <v>0.56999999999999995</v>
      </c>
      <c r="N37" s="24">
        <v>0.13</v>
      </c>
      <c r="O37" s="24">
        <v>0.35600000000000004</v>
      </c>
      <c r="P37" s="24">
        <v>-2.2000000000000002E-2</v>
      </c>
      <c r="Q37" s="24">
        <v>0.24199999999999999</v>
      </c>
      <c r="R37" s="24">
        <v>0.10099999999999999</v>
      </c>
    </row>
    <row r="38" spans="1:20">
      <c r="A38" s="43">
        <v>38561</v>
      </c>
      <c r="B38" s="39">
        <v>46142.75</v>
      </c>
      <c r="C38" s="24">
        <v>0.498</v>
      </c>
      <c r="D38" s="26">
        <v>7.1</v>
      </c>
      <c r="E38" s="26">
        <v>15.6</v>
      </c>
      <c r="F38" s="24">
        <v>0.14199999999999999</v>
      </c>
      <c r="G38" s="24">
        <v>5.0000000000000001E-3</v>
      </c>
      <c r="H38" s="25">
        <v>9000000</v>
      </c>
      <c r="I38" s="24">
        <v>-7.2000000000000008E-2</v>
      </c>
      <c r="J38" s="26">
        <v>-29.9</v>
      </c>
      <c r="K38" s="26">
        <v>59.9</v>
      </c>
      <c r="L38" s="24">
        <v>0.44799999999999995</v>
      </c>
      <c r="M38" s="24">
        <v>0.56000000000000005</v>
      </c>
      <c r="N38" s="24">
        <v>5.7999999999999996E-2</v>
      </c>
      <c r="O38" s="24">
        <v>0.34899999999999998</v>
      </c>
      <c r="P38" s="24">
        <v>-4.0000000000000001E-3</v>
      </c>
      <c r="Q38" s="24">
        <v>0.24100000000000002</v>
      </c>
      <c r="R38" s="24">
        <v>3.0000000000000001E-3</v>
      </c>
    </row>
    <row r="39" spans="1:20">
      <c r="A39" s="43">
        <v>38590</v>
      </c>
      <c r="B39" s="39">
        <v>46142.75</v>
      </c>
      <c r="C39" s="24">
        <v>0.26899999999999996</v>
      </c>
      <c r="D39" s="26">
        <v>6.4</v>
      </c>
      <c r="E39" s="26">
        <v>14.5</v>
      </c>
      <c r="F39" s="24">
        <v>0.14400000000000002</v>
      </c>
      <c r="G39" s="24">
        <v>9.0000000000000011E-3</v>
      </c>
      <c r="H39" s="25">
        <v>7600000</v>
      </c>
      <c r="I39" s="24">
        <v>-0.121</v>
      </c>
      <c r="J39" s="26">
        <v>-8.4</v>
      </c>
      <c r="K39" s="26">
        <v>67.3</v>
      </c>
      <c r="L39" s="24">
        <v>0.51500000000000001</v>
      </c>
      <c r="M39" s="24">
        <v>0.59</v>
      </c>
      <c r="N39" s="24">
        <v>7.5999999999999998E-2</v>
      </c>
      <c r="O39" s="24">
        <v>0.33899999999999997</v>
      </c>
      <c r="P39" s="24">
        <v>-1.2E-2</v>
      </c>
      <c r="Q39" s="24">
        <v>0.25600000000000001</v>
      </c>
      <c r="R39" s="24">
        <v>-5.0000000000000001E-3</v>
      </c>
    </row>
    <row r="40" spans="1:20">
      <c r="A40" s="43">
        <v>38604</v>
      </c>
      <c r="B40" s="39">
        <v>46142.75</v>
      </c>
      <c r="C40" s="24">
        <v>0.23699999999999999</v>
      </c>
      <c r="D40" s="26">
        <v>5.8</v>
      </c>
      <c r="E40" s="26">
        <v>15.2</v>
      </c>
      <c r="F40" s="24">
        <v>0.14499999999999999</v>
      </c>
      <c r="G40" s="24">
        <v>1.7000000000000001E-2</v>
      </c>
      <c r="H40" s="25">
        <v>8100000</v>
      </c>
      <c r="I40" s="24">
        <v>-0.16899999999999998</v>
      </c>
      <c r="J40" s="26">
        <v>-55.8</v>
      </c>
      <c r="K40" s="26">
        <v>81.400000000000006</v>
      </c>
      <c r="L40" s="24">
        <v>0.64</v>
      </c>
      <c r="M40" s="24">
        <v>0.65</v>
      </c>
      <c r="N40" s="24">
        <v>8.5999999999999993E-2</v>
      </c>
      <c r="O40" s="24">
        <v>0.36299999999999999</v>
      </c>
      <c r="P40" s="24">
        <v>-2E-3</v>
      </c>
      <c r="Q40" s="24">
        <v>0.22399999999999998</v>
      </c>
      <c r="R40" s="24">
        <v>-4.7E-2</v>
      </c>
    </row>
    <row r="41" spans="1:20">
      <c r="A41" s="43">
        <v>38606</v>
      </c>
      <c r="B41" s="39">
        <v>46142.75</v>
      </c>
      <c r="C41" s="24">
        <v>0.27600000000000002</v>
      </c>
      <c r="D41" s="26">
        <v>6.8</v>
      </c>
      <c r="E41" s="26">
        <v>16.399999999999999</v>
      </c>
      <c r="F41" s="24">
        <v>0.14400000000000002</v>
      </c>
      <c r="G41" s="24">
        <v>-2E-3</v>
      </c>
      <c r="H41" s="25">
        <v>9300000</v>
      </c>
      <c r="I41" s="24">
        <v>1E-3</v>
      </c>
      <c r="J41" s="26">
        <v>36.6</v>
      </c>
      <c r="K41" s="26">
        <v>72.099999999999994</v>
      </c>
      <c r="L41" s="24">
        <v>0.46899999999999997</v>
      </c>
      <c r="M41" s="24">
        <v>0.65</v>
      </c>
      <c r="N41" s="24">
        <v>7.2999999999999995E-2</v>
      </c>
      <c r="O41" s="24">
        <v>0.371</v>
      </c>
      <c r="P41" s="24">
        <v>-3.0000000000000001E-3</v>
      </c>
      <c r="Q41" s="24">
        <v>0.24199999999999999</v>
      </c>
      <c r="R41" s="24">
        <v>2E-3</v>
      </c>
    </row>
    <row r="42" spans="1:20">
      <c r="A42" s="43">
        <v>38651</v>
      </c>
      <c r="B42" s="39">
        <v>46142.75</v>
      </c>
      <c r="C42" s="24">
        <v>0.27600000000000002</v>
      </c>
      <c r="D42" s="26">
        <v>6.6</v>
      </c>
      <c r="E42" s="26">
        <v>15.9</v>
      </c>
      <c r="F42" s="24">
        <v>0.13900000000000001</v>
      </c>
      <c r="G42" s="24">
        <v>-6.0000000000000001E-3</v>
      </c>
      <c r="H42" s="25">
        <v>9200000</v>
      </c>
      <c r="I42" s="24">
        <v>-0.06</v>
      </c>
      <c r="J42" s="26">
        <v>-19.600000000000001</v>
      </c>
      <c r="K42" s="26">
        <v>70</v>
      </c>
      <c r="L42" s="24">
        <v>0.48200000000000004</v>
      </c>
      <c r="M42" s="24">
        <v>0.55000000000000004</v>
      </c>
      <c r="N42" s="24">
        <v>8.5000000000000006E-2</v>
      </c>
      <c r="O42" s="24">
        <v>0.375</v>
      </c>
      <c r="P42" s="24">
        <v>3.7999999999999999E-2</v>
      </c>
      <c r="Q42" s="24">
        <v>0.23399999999999999</v>
      </c>
      <c r="R42" s="24">
        <v>-4.2000000000000003E-2</v>
      </c>
    </row>
    <row r="43" spans="1:20">
      <c r="A43" s="43">
        <v>38656</v>
      </c>
      <c r="B43" s="39">
        <v>46142.75</v>
      </c>
      <c r="C43" s="24">
        <v>0.47200000000000003</v>
      </c>
      <c r="D43" s="26">
        <v>5.3</v>
      </c>
      <c r="E43" s="26">
        <v>12.8</v>
      </c>
      <c r="F43" s="24">
        <v>0.16399999999999998</v>
      </c>
      <c r="G43" s="24">
        <v>1.9E-2</v>
      </c>
      <c r="H43" s="25">
        <v>10300000</v>
      </c>
      <c r="I43" s="24">
        <v>-0.17100000000000001</v>
      </c>
      <c r="J43" s="26">
        <v>-140.80000000000001</v>
      </c>
      <c r="K43" s="26">
        <v>73.7</v>
      </c>
      <c r="L43" s="24">
        <v>0.56399999999999995</v>
      </c>
      <c r="M43" s="24">
        <v>0.62</v>
      </c>
      <c r="N43" s="24">
        <v>0.14800000000000002</v>
      </c>
      <c r="O43" s="24">
        <v>0.34899999999999998</v>
      </c>
      <c r="P43" s="24">
        <v>-9.0000000000000011E-3</v>
      </c>
      <c r="Q43" s="24">
        <v>0.20100000000000001</v>
      </c>
      <c r="R43" s="24">
        <v>-0.05</v>
      </c>
      <c r="S43" t="s">
        <v>241</v>
      </c>
      <c r="T43" t="s">
        <v>242</v>
      </c>
    </row>
    <row r="44" spans="1:20">
      <c r="A44" s="43">
        <v>38661</v>
      </c>
      <c r="B44" s="39">
        <v>46142.75</v>
      </c>
      <c r="C44" s="24">
        <v>0.23499999999999999</v>
      </c>
      <c r="D44" s="26">
        <v>6</v>
      </c>
      <c r="E44" s="26">
        <v>14.9</v>
      </c>
      <c r="F44" s="24">
        <v>0.156</v>
      </c>
      <c r="G44" s="24">
        <v>-6.0000000000000001E-3</v>
      </c>
      <c r="H44" s="25">
        <v>6000000</v>
      </c>
      <c r="I44" s="24">
        <v>-2.7000000000000003E-2</v>
      </c>
      <c r="J44" s="26">
        <v>-24</v>
      </c>
      <c r="K44" s="26">
        <v>65.5</v>
      </c>
      <c r="L44" s="24">
        <v>0.55200000000000005</v>
      </c>
      <c r="M44" s="24">
        <v>0.66</v>
      </c>
      <c r="N44" s="24">
        <v>0.155</v>
      </c>
      <c r="O44" s="24">
        <v>0.35899999999999999</v>
      </c>
      <c r="P44" s="24">
        <v>3.0000000000000001E-3</v>
      </c>
      <c r="Q44" s="24">
        <v>0.17699999999999999</v>
      </c>
      <c r="R44" s="24">
        <v>-3.0000000000000001E-3</v>
      </c>
    </row>
    <row r="45" spans="1:20">
      <c r="A45" s="43">
        <v>38674</v>
      </c>
      <c r="B45" s="39">
        <v>46142.75</v>
      </c>
      <c r="C45" s="24">
        <v>0.55299999999999994</v>
      </c>
      <c r="D45" s="26">
        <v>5.8</v>
      </c>
      <c r="E45" s="26">
        <v>13.9</v>
      </c>
      <c r="F45" s="24">
        <v>0.184</v>
      </c>
      <c r="G45" s="24">
        <v>2.5000000000000001E-2</v>
      </c>
      <c r="H45" s="25">
        <v>4900000</v>
      </c>
      <c r="I45" s="24">
        <v>-0.17600000000000002</v>
      </c>
      <c r="J45" s="26">
        <v>-52.4</v>
      </c>
      <c r="K45" s="26">
        <v>70.8</v>
      </c>
      <c r="L45" s="24">
        <v>0.45500000000000002</v>
      </c>
      <c r="M45" s="24">
        <v>0.61</v>
      </c>
      <c r="N45" s="24">
        <v>0.13400000000000001</v>
      </c>
      <c r="O45" s="24">
        <v>0.37</v>
      </c>
      <c r="P45" s="24">
        <v>1.1000000000000001E-2</v>
      </c>
      <c r="Q45" s="24">
        <v>0.18</v>
      </c>
      <c r="R45" s="24">
        <v>-3.7999999999999999E-2</v>
      </c>
    </row>
    <row r="46" spans="1:20">
      <c r="A46" s="43">
        <v>38677</v>
      </c>
      <c r="B46" s="39">
        <v>46142.75</v>
      </c>
      <c r="C46" s="24">
        <v>0.23399999999999999</v>
      </c>
      <c r="D46" s="26">
        <v>7.5</v>
      </c>
      <c r="E46" s="26">
        <v>17.600000000000001</v>
      </c>
      <c r="F46" s="24">
        <v>0.152</v>
      </c>
      <c r="G46" s="24">
        <v>1.8000000000000002E-2</v>
      </c>
      <c r="H46" s="25">
        <v>7000000</v>
      </c>
      <c r="I46" s="24">
        <v>-0.13800000000000001</v>
      </c>
      <c r="J46" s="26">
        <v>-29.4</v>
      </c>
      <c r="K46" s="26">
        <v>74.599999999999994</v>
      </c>
      <c r="L46" s="24">
        <v>0.66099999999999992</v>
      </c>
      <c r="M46" s="24">
        <v>0.64</v>
      </c>
      <c r="N46" s="24">
        <v>0.17399999999999999</v>
      </c>
      <c r="O46" s="24">
        <v>0.40100000000000002</v>
      </c>
      <c r="P46" s="24">
        <v>2.1000000000000001E-2</v>
      </c>
      <c r="Q46" s="24">
        <v>0.17499999999999999</v>
      </c>
      <c r="R46" s="24">
        <v>-4.8000000000000001E-2</v>
      </c>
    </row>
    <row r="47" spans="1:20">
      <c r="A47" s="43">
        <v>38694</v>
      </c>
      <c r="B47" s="39">
        <v>46142.75</v>
      </c>
      <c r="C47" s="24">
        <v>0.16200000000000001</v>
      </c>
      <c r="D47" s="26">
        <v>5.9</v>
      </c>
      <c r="E47" s="26">
        <v>14.7</v>
      </c>
      <c r="F47" s="24">
        <v>0.14099999999999999</v>
      </c>
      <c r="G47" s="24">
        <v>1E-3</v>
      </c>
      <c r="H47" s="25">
        <v>7900000</v>
      </c>
      <c r="I47" s="24">
        <v>0.03</v>
      </c>
      <c r="J47" s="26">
        <v>-7.8</v>
      </c>
      <c r="K47" s="26">
        <v>70.3</v>
      </c>
      <c r="L47" s="24">
        <v>0.51400000000000001</v>
      </c>
      <c r="M47" s="24">
        <v>0.66</v>
      </c>
      <c r="N47" s="24">
        <v>3.3000000000000002E-2</v>
      </c>
      <c r="O47" s="24">
        <v>0.35</v>
      </c>
      <c r="P47" s="24">
        <v>-1.1000000000000001E-2</v>
      </c>
      <c r="Q47" s="24">
        <v>0.21199999999999999</v>
      </c>
      <c r="R47" s="24">
        <v>2.7000000000000003E-2</v>
      </c>
    </row>
    <row r="48" spans="1:20">
      <c r="A48" s="43">
        <v>38695</v>
      </c>
      <c r="B48" s="39">
        <v>46142.75</v>
      </c>
      <c r="C48" s="24">
        <v>0.375</v>
      </c>
      <c r="D48" s="26">
        <v>7.6</v>
      </c>
      <c r="E48" s="26">
        <v>15.3</v>
      </c>
      <c r="F48" s="24">
        <v>0.14499999999999999</v>
      </c>
      <c r="G48" s="24">
        <v>-8.0000000000000002E-3</v>
      </c>
      <c r="H48" s="25">
        <v>7800000</v>
      </c>
      <c r="I48" s="24">
        <v>-5.0999999999999997E-2</v>
      </c>
      <c r="J48" s="26">
        <v>6.5</v>
      </c>
      <c r="K48" s="26">
        <v>56.7</v>
      </c>
      <c r="L48" s="24">
        <v>0.39399999999999996</v>
      </c>
      <c r="M48" s="24">
        <v>0.54</v>
      </c>
      <c r="N48" s="24">
        <v>6.3E-2</v>
      </c>
      <c r="O48" s="24">
        <v>0.379</v>
      </c>
      <c r="P48" s="24">
        <v>-1E-3</v>
      </c>
      <c r="Q48" s="24">
        <v>0.21600000000000003</v>
      </c>
      <c r="R48" s="24">
        <v>3.0000000000000001E-3</v>
      </c>
    </row>
    <row r="49" spans="1:20">
      <c r="A49" s="43">
        <v>38719</v>
      </c>
      <c r="B49" s="39">
        <v>46142.75</v>
      </c>
      <c r="C49" s="24">
        <v>0.185</v>
      </c>
      <c r="D49" s="26">
        <v>6.6</v>
      </c>
      <c r="E49" s="26">
        <v>15.9</v>
      </c>
      <c r="F49" s="24">
        <v>0.156</v>
      </c>
      <c r="G49" s="24">
        <v>-3.0000000000000001E-3</v>
      </c>
      <c r="H49" s="25">
        <v>6200000</v>
      </c>
      <c r="I49" s="24">
        <v>-6.0999999999999999E-2</v>
      </c>
      <c r="J49" s="26">
        <v>-22.9</v>
      </c>
      <c r="K49" s="26">
        <v>79</v>
      </c>
      <c r="L49" s="24">
        <v>0.6</v>
      </c>
      <c r="M49" s="24">
        <v>0.72</v>
      </c>
      <c r="N49" s="24">
        <v>0.16200000000000001</v>
      </c>
      <c r="O49" s="24">
        <v>0.39600000000000002</v>
      </c>
      <c r="P49" s="24">
        <v>2.1000000000000001E-2</v>
      </c>
      <c r="Q49" s="24">
        <v>0.19399999999999998</v>
      </c>
      <c r="R49" s="24">
        <v>-2.3E-2</v>
      </c>
    </row>
    <row r="50" spans="1:20">
      <c r="A50" s="43">
        <v>38770</v>
      </c>
      <c r="B50" s="39">
        <v>46142.75</v>
      </c>
      <c r="C50" s="24">
        <v>0.127</v>
      </c>
      <c r="D50" s="26">
        <v>5.7</v>
      </c>
      <c r="E50" s="26">
        <v>13.7</v>
      </c>
      <c r="F50" s="24">
        <v>0.20800000000000002</v>
      </c>
      <c r="G50" s="24">
        <v>2.1000000000000001E-2</v>
      </c>
      <c r="H50" s="25">
        <v>4200000</v>
      </c>
      <c r="I50" s="24">
        <v>-0.16</v>
      </c>
      <c r="J50" s="26">
        <v>-19</v>
      </c>
      <c r="K50" s="26">
        <v>81.7</v>
      </c>
      <c r="L50" s="24">
        <v>0.56600000000000006</v>
      </c>
      <c r="M50" s="24">
        <v>0.64</v>
      </c>
      <c r="N50" s="24">
        <v>6.7000000000000004E-2</v>
      </c>
      <c r="O50" s="24">
        <v>0.39500000000000002</v>
      </c>
      <c r="P50" s="24">
        <v>6.0000000000000001E-3</v>
      </c>
      <c r="Q50" s="24">
        <v>0.13300000000000001</v>
      </c>
      <c r="R50" s="24">
        <v>-2.8999999999999998E-2</v>
      </c>
    </row>
    <row r="51" spans="1:20">
      <c r="A51" s="43">
        <v>38792</v>
      </c>
      <c r="B51" s="39">
        <v>46142.75</v>
      </c>
      <c r="C51" s="24">
        <v>0.66400000000000003</v>
      </c>
      <c r="D51" s="26">
        <v>5.8</v>
      </c>
      <c r="E51" s="26">
        <v>13.2</v>
      </c>
      <c r="F51" s="24">
        <v>0.17899999999999999</v>
      </c>
      <c r="G51" s="24">
        <v>-5.0000000000000001E-3</v>
      </c>
      <c r="H51" s="25">
        <v>4800000</v>
      </c>
      <c r="I51" s="24">
        <v>-8.8000000000000009E-2</v>
      </c>
      <c r="J51" s="26">
        <v>-27</v>
      </c>
      <c r="K51" s="26">
        <v>68.099999999999994</v>
      </c>
      <c r="L51" s="24">
        <v>0.54</v>
      </c>
      <c r="M51" s="24">
        <v>0.63</v>
      </c>
      <c r="N51" s="24">
        <v>7.9000000000000001E-2</v>
      </c>
      <c r="O51" s="24">
        <v>0.40200000000000002</v>
      </c>
      <c r="P51" s="24">
        <v>9.0000000000000011E-3</v>
      </c>
      <c r="Q51" s="24">
        <v>0.14400000000000002</v>
      </c>
      <c r="R51" s="24">
        <v>1.3000000000000001E-2</v>
      </c>
    </row>
    <row r="52" spans="1:20">
      <c r="A52" s="43">
        <v>38811</v>
      </c>
      <c r="B52" s="39">
        <v>46142.75</v>
      </c>
      <c r="C52" s="24">
        <v>0.41100000000000003</v>
      </c>
      <c r="D52" s="26">
        <v>9.6</v>
      </c>
      <c r="E52" s="26">
        <v>24.2</v>
      </c>
      <c r="F52" s="24">
        <v>0.129</v>
      </c>
      <c r="G52" s="24">
        <v>-2E-3</v>
      </c>
      <c r="H52" s="25">
        <v>7900000</v>
      </c>
      <c r="I52" s="24">
        <v>-8.6999999999999994E-2</v>
      </c>
      <c r="J52" s="26">
        <v>-38.200000000000003</v>
      </c>
      <c r="K52" s="26">
        <v>58.6</v>
      </c>
      <c r="L52" s="24">
        <v>0.40899999999999997</v>
      </c>
      <c r="M52" s="24">
        <v>0.56999999999999995</v>
      </c>
      <c r="N52" s="24">
        <v>0.13900000000000001</v>
      </c>
      <c r="O52" s="24">
        <v>0.376</v>
      </c>
      <c r="P52" s="24">
        <v>4.4999999999999998E-2</v>
      </c>
      <c r="Q52" s="24">
        <v>0.23499999999999999</v>
      </c>
      <c r="R52" s="24">
        <v>-4.4000000000000004E-2</v>
      </c>
    </row>
    <row r="53" spans="1:20">
      <c r="A53" s="43">
        <v>38837</v>
      </c>
      <c r="B53" s="39">
        <v>46142.75</v>
      </c>
      <c r="C53" s="24">
        <v>0.14400000000000002</v>
      </c>
      <c r="D53" s="26">
        <v>7.5</v>
      </c>
      <c r="E53" s="26">
        <v>17.600000000000001</v>
      </c>
      <c r="F53" s="24">
        <v>0.14699999999999999</v>
      </c>
      <c r="G53" s="24">
        <v>1.2E-2</v>
      </c>
      <c r="H53" s="25">
        <v>6200000</v>
      </c>
      <c r="I53" s="24">
        <v>-8.3000000000000004E-2</v>
      </c>
      <c r="J53" s="26">
        <v>-23.5</v>
      </c>
      <c r="K53" s="26">
        <v>68.8</v>
      </c>
      <c r="L53" s="24">
        <v>0.51100000000000001</v>
      </c>
      <c r="M53" s="24">
        <v>0.61</v>
      </c>
      <c r="N53" s="24">
        <v>0.17899999999999999</v>
      </c>
      <c r="O53" s="24">
        <v>0.35899999999999999</v>
      </c>
      <c r="P53" s="24">
        <v>1.9E-2</v>
      </c>
      <c r="Q53" s="24">
        <v>0.20100000000000001</v>
      </c>
      <c r="R53" s="24">
        <v>-2.4E-2</v>
      </c>
    </row>
    <row r="54" spans="1:20">
      <c r="A54" s="43">
        <v>38845</v>
      </c>
      <c r="B54" s="39">
        <v>46142.75</v>
      </c>
      <c r="C54" s="24">
        <v>0.64400000000000002</v>
      </c>
      <c r="D54" s="26">
        <v>6.1</v>
      </c>
      <c r="E54" s="26">
        <v>13.4</v>
      </c>
      <c r="F54" s="24">
        <v>0.182</v>
      </c>
      <c r="G54" s="24">
        <v>1.1000000000000001E-2</v>
      </c>
      <c r="H54" s="25">
        <v>4400000</v>
      </c>
      <c r="I54" s="24">
        <v>-0.153</v>
      </c>
      <c r="J54" s="26">
        <v>112.1</v>
      </c>
      <c r="K54" s="26">
        <v>73.400000000000006</v>
      </c>
      <c r="L54" s="24">
        <v>0.48599999999999999</v>
      </c>
      <c r="M54" s="24">
        <v>0.56000000000000005</v>
      </c>
      <c r="N54" s="24">
        <v>6.9000000000000006E-2</v>
      </c>
      <c r="O54" s="24">
        <v>0.373</v>
      </c>
      <c r="P54" s="24">
        <v>1.4999999999999999E-2</v>
      </c>
      <c r="Q54" s="24">
        <v>0.193</v>
      </c>
      <c r="R54" s="24">
        <v>-3.7999999999999999E-2</v>
      </c>
    </row>
    <row r="55" spans="1:20">
      <c r="A55" s="43">
        <v>38859</v>
      </c>
      <c r="B55" s="39">
        <v>46142.75</v>
      </c>
      <c r="C55" s="24">
        <v>0.317</v>
      </c>
      <c r="D55" s="26">
        <v>5.5</v>
      </c>
      <c r="E55" s="26">
        <v>13.1</v>
      </c>
      <c r="F55" s="24">
        <v>0.17300000000000001</v>
      </c>
      <c r="G55" s="24">
        <v>3.5000000000000003E-2</v>
      </c>
      <c r="H55" s="25">
        <v>6500000</v>
      </c>
      <c r="I55" s="24">
        <v>-0.214</v>
      </c>
      <c r="J55" s="26">
        <v>-28.7</v>
      </c>
      <c r="K55" s="26">
        <v>62.5</v>
      </c>
      <c r="L55" s="24">
        <v>0.45</v>
      </c>
      <c r="M55" s="24">
        <v>0.56000000000000005</v>
      </c>
      <c r="N55" s="24">
        <v>4.5999999999999999E-2</v>
      </c>
      <c r="O55" s="24">
        <v>0.35899999999999999</v>
      </c>
      <c r="P55" s="24">
        <v>-1.1000000000000001E-2</v>
      </c>
      <c r="Q55" s="24">
        <v>0.129</v>
      </c>
      <c r="R55" s="24">
        <v>-3.2000000000000001E-2</v>
      </c>
    </row>
    <row r="56" spans="1:20">
      <c r="A56" s="43">
        <v>38862</v>
      </c>
      <c r="B56" s="39">
        <v>46142.75</v>
      </c>
      <c r="C56" s="24">
        <v>0.314</v>
      </c>
      <c r="D56" s="26">
        <v>7.3</v>
      </c>
      <c r="E56" s="26">
        <v>18.5</v>
      </c>
      <c r="F56" s="24">
        <v>0.13699999999999998</v>
      </c>
      <c r="G56" s="24">
        <v>6.9999999999999993E-3</v>
      </c>
      <c r="H56" s="25">
        <v>8199999.9999999991</v>
      </c>
      <c r="I56" s="24">
        <v>-7.5999999999999998E-2</v>
      </c>
      <c r="J56" s="26">
        <v>-28.9</v>
      </c>
      <c r="K56" s="26">
        <v>69.8</v>
      </c>
      <c r="L56" s="24">
        <v>0.47399999999999998</v>
      </c>
      <c r="M56" s="24">
        <v>0.65</v>
      </c>
      <c r="N56" s="24">
        <v>0.127</v>
      </c>
      <c r="O56" s="24">
        <v>0.36299999999999999</v>
      </c>
      <c r="P56" s="24">
        <v>4.0000000000000001E-3</v>
      </c>
      <c r="Q56" s="24">
        <v>0.24299999999999999</v>
      </c>
      <c r="R56" s="24">
        <v>-2.7000000000000003E-2</v>
      </c>
    </row>
    <row r="57" spans="1:20">
      <c r="A57" s="43">
        <v>38894</v>
      </c>
      <c r="B57" s="39">
        <v>46142.75</v>
      </c>
      <c r="C57" s="24">
        <v>0.191</v>
      </c>
      <c r="D57" s="26">
        <v>6.4</v>
      </c>
      <c r="E57" s="26">
        <v>16.5</v>
      </c>
      <c r="F57" s="24">
        <v>0.15</v>
      </c>
      <c r="G57" s="24">
        <v>1.2E-2</v>
      </c>
      <c r="H57" s="25">
        <v>7100000</v>
      </c>
      <c r="I57" s="24">
        <v>-0.10400000000000001</v>
      </c>
      <c r="J57" s="26">
        <v>-11.4</v>
      </c>
      <c r="K57" s="26">
        <v>74.5</v>
      </c>
      <c r="L57" s="24">
        <v>0.46700000000000003</v>
      </c>
      <c r="M57" s="24">
        <v>0.61</v>
      </c>
      <c r="N57" s="24">
        <v>7.2999999999999995E-2</v>
      </c>
      <c r="O57" s="24">
        <v>0.36599999999999999</v>
      </c>
      <c r="P57" s="24">
        <v>4.0000000000000001E-3</v>
      </c>
      <c r="Q57" s="24">
        <v>0.21299999999999999</v>
      </c>
      <c r="R57" s="24">
        <v>-1.8000000000000002E-2</v>
      </c>
    </row>
    <row r="58" spans="1:20">
      <c r="A58" s="43">
        <v>38903</v>
      </c>
      <c r="B58" s="39">
        <v>46142.75</v>
      </c>
      <c r="C58" s="24">
        <v>0.42100000000000004</v>
      </c>
      <c r="D58" s="26">
        <v>6.9</v>
      </c>
      <c r="E58" s="26">
        <v>16.8</v>
      </c>
      <c r="F58" s="24">
        <v>0.14099999999999999</v>
      </c>
      <c r="G58" s="24">
        <v>4.0000000000000001E-3</v>
      </c>
      <c r="H58" s="25">
        <v>8800000</v>
      </c>
      <c r="I58" s="24">
        <v>-5.4000000000000006E-2</v>
      </c>
      <c r="J58" s="26">
        <v>-24.8</v>
      </c>
      <c r="K58" s="26">
        <v>61.5</v>
      </c>
      <c r="L58" s="24">
        <v>0.44900000000000001</v>
      </c>
      <c r="M58" s="24">
        <v>0.56000000000000005</v>
      </c>
      <c r="N58" s="24">
        <v>7.8E-2</v>
      </c>
      <c r="O58" s="24">
        <v>0.379</v>
      </c>
      <c r="P58" s="24">
        <v>2.5000000000000001E-2</v>
      </c>
      <c r="Q58" s="24">
        <v>0.22699999999999998</v>
      </c>
      <c r="R58" s="24">
        <v>-4.2999999999999997E-2</v>
      </c>
    </row>
    <row r="59" spans="1:20">
      <c r="A59" s="43">
        <v>38924</v>
      </c>
      <c r="B59" s="39">
        <v>46142.75</v>
      </c>
      <c r="C59" s="24">
        <v>8.199999999999999E-2</v>
      </c>
      <c r="D59" s="26">
        <v>5.7</v>
      </c>
      <c r="E59" s="26">
        <v>13.8</v>
      </c>
      <c r="F59" s="24">
        <v>0.161</v>
      </c>
      <c r="G59" s="24">
        <v>2E-3</v>
      </c>
      <c r="H59" s="25">
        <v>5700000</v>
      </c>
      <c r="I59" s="24">
        <v>-7.400000000000001E-2</v>
      </c>
      <c r="J59" s="26">
        <v>-15.4</v>
      </c>
      <c r="K59" s="26">
        <v>74.099999999999994</v>
      </c>
      <c r="L59" s="24">
        <v>0.55600000000000005</v>
      </c>
      <c r="M59" s="24">
        <v>0.66</v>
      </c>
      <c r="N59" s="24">
        <v>0.152</v>
      </c>
      <c r="O59" s="24">
        <v>0.379</v>
      </c>
      <c r="P59" s="24">
        <v>3.4000000000000002E-2</v>
      </c>
      <c r="Q59" s="24">
        <v>0.20300000000000001</v>
      </c>
      <c r="R59" s="24">
        <v>-4.4000000000000004E-2</v>
      </c>
    </row>
    <row r="60" spans="1:20">
      <c r="A60" s="43">
        <v>38925</v>
      </c>
      <c r="B60" s="39">
        <v>46142.75</v>
      </c>
      <c r="C60" s="24">
        <v>0.11699999999999999</v>
      </c>
      <c r="D60" s="26">
        <v>4.2</v>
      </c>
      <c r="E60" s="26">
        <v>10.9</v>
      </c>
      <c r="F60" s="24">
        <v>0.22600000000000001</v>
      </c>
      <c r="G60" s="24">
        <v>4.0000000000000001E-3</v>
      </c>
      <c r="H60" s="25">
        <v>2900000</v>
      </c>
      <c r="I60" s="24">
        <v>-5.7000000000000002E-2</v>
      </c>
      <c r="J60" s="26">
        <v>-17.8</v>
      </c>
      <c r="K60" s="26">
        <v>77.900000000000006</v>
      </c>
      <c r="L60" s="24">
        <v>0.71099999999999997</v>
      </c>
      <c r="M60" s="24">
        <v>0.7</v>
      </c>
      <c r="N60" s="24">
        <v>0.115</v>
      </c>
      <c r="O60" s="24">
        <v>0.38400000000000001</v>
      </c>
      <c r="P60" s="24">
        <v>3.0000000000000001E-3</v>
      </c>
      <c r="Q60" s="24">
        <v>0.15</v>
      </c>
      <c r="R60" s="24">
        <v>5.5999999999999994E-2</v>
      </c>
    </row>
    <row r="61" spans="1:20">
      <c r="A61" s="43">
        <v>38930</v>
      </c>
      <c r="B61" s="39">
        <v>46142.75</v>
      </c>
      <c r="C61" s="24">
        <v>0.54700000000000004</v>
      </c>
      <c r="D61" s="26">
        <v>6.8</v>
      </c>
      <c r="E61" s="26">
        <v>17</v>
      </c>
      <c r="F61" s="24">
        <v>0.122</v>
      </c>
      <c r="G61" s="24">
        <v>-6.3E-2</v>
      </c>
      <c r="H61" s="25">
        <v>13300000</v>
      </c>
      <c r="I61" s="24">
        <v>0.35</v>
      </c>
      <c r="J61" s="26">
        <v>-3.8</v>
      </c>
      <c r="K61" s="26">
        <v>63.1</v>
      </c>
      <c r="L61" s="24">
        <v>0.307</v>
      </c>
      <c r="M61" s="24">
        <v>0.48</v>
      </c>
      <c r="N61" s="24">
        <v>8.199999999999999E-2</v>
      </c>
      <c r="O61" s="24">
        <v>0.33600000000000002</v>
      </c>
      <c r="P61" s="24">
        <v>3.0000000000000001E-3</v>
      </c>
      <c r="Q61" s="24">
        <v>0.33</v>
      </c>
      <c r="R61" s="24">
        <v>0.111</v>
      </c>
      <c r="S61" t="s">
        <v>238</v>
      </c>
      <c r="T61" t="s">
        <v>239</v>
      </c>
    </row>
    <row r="62" spans="1:20">
      <c r="A62" s="43">
        <v>38937</v>
      </c>
      <c r="B62" s="39">
        <v>46142.75</v>
      </c>
      <c r="C62" s="24">
        <v>8.1000000000000003E-2</v>
      </c>
      <c r="D62" s="26">
        <v>8.4</v>
      </c>
      <c r="E62" s="26">
        <v>21.3</v>
      </c>
      <c r="F62" s="24">
        <v>0.13600000000000001</v>
      </c>
      <c r="G62" s="24">
        <v>6.9999999999999993E-3</v>
      </c>
      <c r="H62" s="25">
        <v>9600000</v>
      </c>
      <c r="I62" s="24">
        <v>-3.7999999999999999E-2</v>
      </c>
      <c r="J62" s="26">
        <v>17.899999999999999</v>
      </c>
      <c r="K62" s="26">
        <v>62.5</v>
      </c>
      <c r="L62" s="24">
        <v>0.36899999999999999</v>
      </c>
      <c r="M62" s="24">
        <v>0.53</v>
      </c>
      <c r="N62" s="24">
        <v>0.10400000000000001</v>
      </c>
      <c r="O62" s="24">
        <v>0.35200000000000004</v>
      </c>
      <c r="P62" s="24">
        <v>-1.6E-2</v>
      </c>
      <c r="Q62" s="24">
        <v>0.27399999999999997</v>
      </c>
      <c r="R62" s="24">
        <v>1.4999999999999999E-2</v>
      </c>
    </row>
    <row r="63" spans="1:20">
      <c r="A63" s="43">
        <v>38965</v>
      </c>
      <c r="B63" s="39">
        <v>46142.75</v>
      </c>
      <c r="C63" s="24">
        <v>0</v>
      </c>
      <c r="D63" s="26">
        <v>7</v>
      </c>
      <c r="E63" s="26">
        <v>15.8</v>
      </c>
      <c r="F63" s="24">
        <v>0.16500000000000001</v>
      </c>
      <c r="G63" s="24">
        <v>0.01</v>
      </c>
      <c r="H63" s="25">
        <v>5100000</v>
      </c>
      <c r="I63" s="24">
        <v>-8.199999999999999E-2</v>
      </c>
      <c r="J63" s="26">
        <v>-11.1</v>
      </c>
      <c r="K63" s="26">
        <v>74.599999999999994</v>
      </c>
      <c r="L63" s="24">
        <v>0.48200000000000004</v>
      </c>
      <c r="M63" s="24">
        <v>0.64</v>
      </c>
      <c r="N63" s="24">
        <v>0.03</v>
      </c>
      <c r="O63" s="24">
        <v>0.35899999999999999</v>
      </c>
      <c r="P63" s="24">
        <v>3.3000000000000002E-2</v>
      </c>
      <c r="Q63" s="24">
        <v>0.18899999999999997</v>
      </c>
      <c r="R63" s="24">
        <v>-5.0999999999999997E-2</v>
      </c>
    </row>
    <row r="64" spans="1:20">
      <c r="A64" s="43">
        <v>38992</v>
      </c>
      <c r="B64" s="39">
        <v>46142.75</v>
      </c>
      <c r="C64" s="24">
        <v>0.29399999999999998</v>
      </c>
      <c r="D64" s="26">
        <v>7</v>
      </c>
      <c r="E64" s="26">
        <v>15.1</v>
      </c>
      <c r="F64" s="24">
        <v>0.14300000000000002</v>
      </c>
      <c r="G64" s="24">
        <v>-1.3000000000000001E-2</v>
      </c>
      <c r="H64" s="25">
        <v>7400000</v>
      </c>
      <c r="I64" s="24">
        <v>0.122</v>
      </c>
      <c r="J64" s="26">
        <v>8.8000000000000007</v>
      </c>
      <c r="K64" s="26">
        <v>63.6</v>
      </c>
      <c r="L64" s="24">
        <v>0.56399999999999995</v>
      </c>
      <c r="M64" s="24">
        <v>0.54</v>
      </c>
      <c r="N64" s="24">
        <v>8.8000000000000009E-2</v>
      </c>
      <c r="O64" s="24">
        <v>0.34700000000000003</v>
      </c>
      <c r="P64" s="24">
        <v>-1.8000000000000002E-2</v>
      </c>
      <c r="Q64" s="24">
        <v>0.21100000000000002</v>
      </c>
      <c r="R64" s="24">
        <v>2.3E-2</v>
      </c>
    </row>
    <row r="65" spans="1:18">
      <c r="A65" s="43">
        <v>38995</v>
      </c>
      <c r="B65" s="39">
        <v>46142.75</v>
      </c>
      <c r="C65" s="24">
        <v>0.23199999999999998</v>
      </c>
      <c r="D65" s="26">
        <v>6.4</v>
      </c>
      <c r="E65" s="26">
        <v>15.1</v>
      </c>
      <c r="F65" s="24">
        <v>0.161</v>
      </c>
      <c r="G65" s="24">
        <v>8.0000000000000002E-3</v>
      </c>
      <c r="H65" s="25">
        <v>5300000</v>
      </c>
      <c r="I65" s="24">
        <v>-8.8000000000000009E-2</v>
      </c>
      <c r="J65" s="26">
        <v>-9.1</v>
      </c>
      <c r="K65" s="26">
        <v>75.3</v>
      </c>
      <c r="L65" s="24">
        <v>0.55700000000000005</v>
      </c>
      <c r="M65" s="24">
        <v>0.65</v>
      </c>
      <c r="N65" s="24">
        <v>8.199999999999999E-2</v>
      </c>
      <c r="O65" s="24">
        <v>0.39200000000000002</v>
      </c>
      <c r="P65" s="24">
        <v>4.0999999999999995E-2</v>
      </c>
      <c r="Q65" s="24">
        <v>0.18899999999999997</v>
      </c>
      <c r="R65" s="24">
        <v>-4.2000000000000003E-2</v>
      </c>
    </row>
    <row r="66" spans="1:18">
      <c r="A66" s="43">
        <v>43043</v>
      </c>
      <c r="B66" s="39">
        <v>46142.75</v>
      </c>
      <c r="C66" s="24">
        <v>0.47899999999999998</v>
      </c>
      <c r="D66" s="26">
        <v>8.1999999999999993</v>
      </c>
      <c r="E66" s="26">
        <v>20.7</v>
      </c>
      <c r="F66" s="24">
        <v>0.158</v>
      </c>
      <c r="G66" s="24">
        <v>-1.1000000000000001E-2</v>
      </c>
      <c r="H66" s="25">
        <v>5100000</v>
      </c>
      <c r="I66" s="24">
        <v>-3.7999999999999999E-2</v>
      </c>
      <c r="J66" s="26">
        <v>-22.3</v>
      </c>
      <c r="K66" s="26">
        <v>80.5</v>
      </c>
      <c r="L66" s="24">
        <v>0.51400000000000001</v>
      </c>
      <c r="M66" s="24">
        <v>0.67</v>
      </c>
      <c r="N66" s="24">
        <v>0.13200000000000001</v>
      </c>
      <c r="O66" s="24">
        <v>0.35499999999999998</v>
      </c>
      <c r="P66" s="24">
        <v>-8.0000000000000002E-3</v>
      </c>
      <c r="Q66" s="24">
        <v>0.23699999999999999</v>
      </c>
      <c r="R66" s="24">
        <v>2.3E-2</v>
      </c>
    </row>
    <row r="67" spans="1:18">
      <c r="A67" s="43">
        <v>43111</v>
      </c>
      <c r="B67" s="39">
        <v>46142.75</v>
      </c>
      <c r="C67" s="24">
        <v>2.1000000000000001E-2</v>
      </c>
      <c r="D67" s="26">
        <v>5.3</v>
      </c>
      <c r="E67" s="26">
        <v>13.3</v>
      </c>
      <c r="F67" s="24">
        <v>0.193</v>
      </c>
      <c r="G67" s="24">
        <v>6.9999999999999993E-3</v>
      </c>
      <c r="H67" s="25">
        <v>4200000</v>
      </c>
      <c r="I67" s="24">
        <v>-0.129</v>
      </c>
      <c r="J67" s="26">
        <v>201.4</v>
      </c>
      <c r="K67" s="26">
        <v>79.5</v>
      </c>
      <c r="L67" s="24">
        <v>0.57200000000000006</v>
      </c>
      <c r="M67" s="24">
        <v>0.67</v>
      </c>
      <c r="N67" s="24">
        <v>0.245</v>
      </c>
      <c r="O67" s="24">
        <v>0.40299999999999997</v>
      </c>
      <c r="P67" s="24">
        <v>6.2E-2</v>
      </c>
      <c r="Q67" s="24">
        <v>0.13699999999999998</v>
      </c>
      <c r="R67" s="24">
        <v>-0.105</v>
      </c>
    </row>
    <row r="68" spans="1:18">
      <c r="A68" s="43">
        <v>43130</v>
      </c>
      <c r="B68" s="39">
        <v>46142.75</v>
      </c>
      <c r="C68" s="24">
        <v>0</v>
      </c>
      <c r="D68" s="26">
        <v>5.5</v>
      </c>
      <c r="E68" s="26">
        <v>13.9</v>
      </c>
      <c r="F68" s="24">
        <v>0.16399999999999998</v>
      </c>
      <c r="G68" s="24">
        <v>-0.02</v>
      </c>
      <c r="H68" s="25">
        <v>5600000</v>
      </c>
      <c r="I68" s="24">
        <v>9.9000000000000005E-2</v>
      </c>
      <c r="J68" s="26">
        <v>4.9000000000000004</v>
      </c>
      <c r="K68" s="26">
        <v>81.8</v>
      </c>
      <c r="L68" s="24">
        <v>0.67900000000000005</v>
      </c>
      <c r="M68" s="24">
        <v>0.76</v>
      </c>
      <c r="N68" s="24">
        <v>0.10800000000000001</v>
      </c>
      <c r="O68" s="24">
        <v>0.33200000000000002</v>
      </c>
      <c r="P68" s="24">
        <v>-2.7000000000000003E-2</v>
      </c>
      <c r="Q68" s="24">
        <v>0.21100000000000002</v>
      </c>
      <c r="R68" s="24">
        <v>3.3000000000000002E-2</v>
      </c>
    </row>
    <row r="69" spans="1:18">
      <c r="A69" s="43">
        <v>43132</v>
      </c>
      <c r="B69" s="39">
        <v>46142.75</v>
      </c>
      <c r="C69" s="24">
        <v>0.36399999999999999</v>
      </c>
      <c r="D69" s="26">
        <v>5.4</v>
      </c>
      <c r="E69" s="26">
        <v>13.6</v>
      </c>
      <c r="F69" s="24">
        <v>0.16200000000000001</v>
      </c>
      <c r="G69" s="24">
        <v>-2.3E-2</v>
      </c>
      <c r="H69" s="25">
        <v>5100000</v>
      </c>
      <c r="I69" s="24">
        <v>-2.4E-2</v>
      </c>
      <c r="J69" s="26">
        <v>-19</v>
      </c>
      <c r="K69" s="26">
        <v>79.7</v>
      </c>
      <c r="L69" s="24">
        <v>0.58299999999999996</v>
      </c>
      <c r="M69" s="24">
        <v>0.67</v>
      </c>
      <c r="N69" s="24">
        <v>0.155</v>
      </c>
      <c r="O69" s="24">
        <v>0.36</v>
      </c>
      <c r="P69" s="24">
        <v>2.4E-2</v>
      </c>
      <c r="Q69" s="24">
        <v>0.19800000000000001</v>
      </c>
      <c r="R69" s="24">
        <v>2E-3</v>
      </c>
    </row>
    <row r="70" spans="1:18">
      <c r="A70" s="43">
        <v>43152</v>
      </c>
      <c r="B70" s="39">
        <v>46142.75</v>
      </c>
      <c r="C70" s="24">
        <v>0.111</v>
      </c>
      <c r="D70" s="26">
        <v>5.8</v>
      </c>
      <c r="E70" s="26">
        <v>12.9</v>
      </c>
      <c r="F70" s="24">
        <v>0.188</v>
      </c>
      <c r="G70" s="24">
        <v>-5.7000000000000002E-2</v>
      </c>
      <c r="H70" s="25">
        <v>3700000</v>
      </c>
      <c r="I70" s="24">
        <v>7.400000000000001E-2</v>
      </c>
      <c r="J70" s="26">
        <v>226.1</v>
      </c>
      <c r="K70" s="26">
        <v>71.3</v>
      </c>
      <c r="L70" s="24">
        <v>0.57100000000000006</v>
      </c>
      <c r="M70" s="24">
        <v>0.65</v>
      </c>
      <c r="N70" s="24">
        <v>9.5000000000000001E-2</v>
      </c>
      <c r="O70" s="24">
        <v>0.38200000000000001</v>
      </c>
      <c r="P70" s="24">
        <v>5.2000000000000005E-2</v>
      </c>
      <c r="Q70" s="24">
        <v>0.08</v>
      </c>
      <c r="R70" s="24">
        <v>0.08</v>
      </c>
    </row>
    <row r="71" spans="1:18">
      <c r="A71" s="43">
        <v>43193</v>
      </c>
      <c r="B71" s="39">
        <v>46142.75</v>
      </c>
      <c r="C71" s="24">
        <v>0</v>
      </c>
      <c r="D71" s="26">
        <v>5.8</v>
      </c>
      <c r="E71" s="26">
        <v>13.5</v>
      </c>
      <c r="F71" s="24">
        <v>0.17699999999999999</v>
      </c>
      <c r="G71" s="24">
        <v>-4.2999999999999997E-2</v>
      </c>
      <c r="H71" s="25">
        <v>3500000</v>
      </c>
      <c r="I71" s="24">
        <v>1.2E-2</v>
      </c>
      <c r="J71" s="26">
        <v>185.7</v>
      </c>
      <c r="K71" s="26">
        <v>84.1</v>
      </c>
      <c r="L71" s="24">
        <v>0.76400000000000001</v>
      </c>
      <c r="M71" s="24">
        <v>0.73</v>
      </c>
      <c r="N71" s="24">
        <v>0.06</v>
      </c>
      <c r="O71" s="24">
        <v>0.37799999999999995</v>
      </c>
      <c r="P71" s="24">
        <v>4.9000000000000002E-2</v>
      </c>
      <c r="Q71" s="24">
        <v>0.126</v>
      </c>
      <c r="R71" s="24">
        <v>-0.14899999999999999</v>
      </c>
    </row>
    <row r="72" spans="1:18">
      <c r="A72" s="43">
        <v>43194</v>
      </c>
      <c r="B72" s="39">
        <v>46142.75</v>
      </c>
      <c r="C72" s="24">
        <v>8.5999999999999993E-2</v>
      </c>
      <c r="D72" s="26">
        <v>5.9</v>
      </c>
      <c r="E72" s="26">
        <v>12.7</v>
      </c>
      <c r="F72" s="24">
        <v>0.161</v>
      </c>
      <c r="G72" s="24">
        <v>-7.2999999999999995E-2</v>
      </c>
      <c r="H72" s="25">
        <v>3200000</v>
      </c>
      <c r="I72" s="24">
        <v>5.9000000000000004E-2</v>
      </c>
      <c r="J72" s="26">
        <v>176.9</v>
      </c>
      <c r="K72" s="26">
        <v>79.8</v>
      </c>
      <c r="L72" s="24">
        <v>0.53299999999999992</v>
      </c>
      <c r="M72" s="24">
        <v>0.72</v>
      </c>
      <c r="N72" s="24">
        <v>7.4999999999999997E-2</v>
      </c>
      <c r="O72" s="24">
        <v>0.35700000000000004</v>
      </c>
      <c r="P72" s="24">
        <v>2.7999999999999997E-2</v>
      </c>
      <c r="Q72" s="24">
        <v>0.32299999999999995</v>
      </c>
      <c r="R72" s="24">
        <v>8.8000000000000009E-2</v>
      </c>
    </row>
    <row r="73" spans="1:18">
      <c r="A73" s="43">
        <v>43195</v>
      </c>
      <c r="B73" s="39">
        <v>46142.75</v>
      </c>
      <c r="C73" s="24">
        <v>0.25800000000000001</v>
      </c>
      <c r="D73" s="26">
        <v>6.7</v>
      </c>
      <c r="E73" s="26">
        <v>13.9</v>
      </c>
      <c r="F73" s="24">
        <v>0.17399999999999999</v>
      </c>
      <c r="G73" s="24">
        <v>-3.2000000000000001E-2</v>
      </c>
      <c r="H73" s="25">
        <v>4400000</v>
      </c>
      <c r="I73" s="24">
        <v>5.4000000000000006E-2</v>
      </c>
      <c r="J73" s="26">
        <v>250.3</v>
      </c>
      <c r="K73" s="26">
        <v>73.3</v>
      </c>
      <c r="L73" s="24">
        <v>0.48899999999999999</v>
      </c>
      <c r="M73" s="24">
        <v>0.67</v>
      </c>
      <c r="N73" s="24">
        <v>2.8999999999999998E-2</v>
      </c>
      <c r="O73" s="24">
        <v>0.32600000000000001</v>
      </c>
      <c r="P73" s="24">
        <v>-2E-3</v>
      </c>
      <c r="Q73" s="24">
        <v>0.25900000000000001</v>
      </c>
      <c r="R73" s="24">
        <v>-0.04</v>
      </c>
    </row>
    <row r="74" spans="1:18">
      <c r="A74" s="15"/>
    </row>
    <row r="75" spans="1:18">
      <c r="A75" s="15"/>
    </row>
    <row r="76" spans="1:18">
      <c r="A76" s="15"/>
    </row>
    <row r="77" spans="1:18">
      <c r="A77" s="15"/>
    </row>
    <row r="78" spans="1:18">
      <c r="A78" s="15"/>
    </row>
    <row r="79" spans="1:18">
      <c r="A79" s="15"/>
    </row>
    <row r="80" spans="1:18">
      <c r="A80" s="15"/>
    </row>
    <row r="81" spans="1:1">
      <c r="A81" s="15"/>
    </row>
    <row r="82" spans="1:1">
      <c r="A82" s="15"/>
    </row>
    <row r="83" spans="1:1">
      <c r="A83" s="15"/>
    </row>
    <row r="84" spans="1:1">
      <c r="A84" s="15"/>
    </row>
    <row r="85" spans="1:1">
      <c r="A85" s="15"/>
    </row>
    <row r="86" spans="1:1">
      <c r="A86" s="15"/>
    </row>
    <row r="87" spans="1:1">
      <c r="A87" s="15"/>
    </row>
    <row r="88" spans="1:1">
      <c r="A88" s="15"/>
    </row>
    <row r="89" spans="1:1">
      <c r="A89" s="15"/>
    </row>
    <row r="90" spans="1:1">
      <c r="A90" s="15"/>
    </row>
    <row r="91" spans="1:1">
      <c r="A91" s="15"/>
    </row>
    <row r="92" spans="1:1">
      <c r="A92" s="15"/>
    </row>
    <row r="93" spans="1:1">
      <c r="A93" s="15"/>
    </row>
    <row r="94" spans="1:1">
      <c r="A94" s="15"/>
    </row>
    <row r="95" spans="1:1">
      <c r="A95" s="15"/>
    </row>
    <row r="96" spans="1:1">
      <c r="A96" s="15"/>
    </row>
    <row r="97" spans="1:1">
      <c r="A97" s="15"/>
    </row>
    <row r="98" spans="1:1">
      <c r="A98" s="15"/>
    </row>
    <row r="99" spans="1:1">
      <c r="A99" s="15"/>
    </row>
    <row r="100" spans="1:1">
      <c r="A100" s="15"/>
    </row>
    <row r="101" spans="1:1">
      <c r="A101" s="15"/>
    </row>
    <row r="102" spans="1:1">
      <c r="A102" s="15"/>
    </row>
    <row r="103" spans="1:1">
      <c r="A103" s="15"/>
    </row>
    <row r="104" spans="1:1">
      <c r="A104" s="15"/>
    </row>
    <row r="105" spans="1:1">
      <c r="A105" s="15"/>
    </row>
    <row r="106" spans="1:1">
      <c r="A106" s="15"/>
    </row>
    <row r="107" spans="1:1">
      <c r="A107" s="15"/>
    </row>
    <row r="108" spans="1:1">
      <c r="A108" s="15"/>
    </row>
    <row r="109" spans="1:1">
      <c r="A109" s="15"/>
    </row>
    <row r="110" spans="1:1">
      <c r="A110" s="15"/>
    </row>
    <row r="111" spans="1:1">
      <c r="A111" s="15"/>
    </row>
    <row r="112" spans="1:1">
      <c r="A112" s="15"/>
    </row>
    <row r="113" spans="1:1">
      <c r="A113" s="15"/>
    </row>
    <row r="114" spans="1:1">
      <c r="A114" s="15"/>
    </row>
    <row r="115" spans="1:1">
      <c r="A115" s="15"/>
    </row>
    <row r="116" spans="1:1">
      <c r="A116" s="15"/>
    </row>
    <row r="117" spans="1:1">
      <c r="A117" s="15"/>
    </row>
    <row r="118" spans="1:1">
      <c r="A118" s="15"/>
    </row>
    <row r="119" spans="1:1">
      <c r="A119" s="15"/>
    </row>
    <row r="120" spans="1:1">
      <c r="A120" s="15"/>
    </row>
    <row r="121" spans="1:1">
      <c r="A121" s="15"/>
    </row>
    <row r="122" spans="1:1">
      <c r="A122" s="15"/>
    </row>
    <row r="123" spans="1:1">
      <c r="A123" s="15"/>
    </row>
    <row r="124" spans="1:1">
      <c r="A124" s="15"/>
    </row>
    <row r="125" spans="1:1">
      <c r="A125" s="15"/>
    </row>
    <row r="126" spans="1:1">
      <c r="A126" s="15"/>
    </row>
    <row r="127" spans="1:1">
      <c r="A127" s="15"/>
    </row>
    <row r="128" spans="1:1">
      <c r="A128" s="15"/>
    </row>
    <row r="129" spans="1:1">
      <c r="A129" s="15"/>
    </row>
    <row r="130" spans="1:1">
      <c r="A130" s="15"/>
    </row>
    <row r="131" spans="1:1">
      <c r="A131" s="15"/>
    </row>
    <row r="132" spans="1:1">
      <c r="A132" s="15"/>
    </row>
    <row r="133" spans="1:1">
      <c r="A133" s="15"/>
    </row>
    <row r="134" spans="1:1">
      <c r="A134" s="15"/>
    </row>
    <row r="135" spans="1:1">
      <c r="A135" s="15"/>
    </row>
    <row r="136" spans="1:1">
      <c r="A136" s="15"/>
    </row>
    <row r="137" spans="1:1">
      <c r="A137" s="15"/>
    </row>
    <row r="138" spans="1:1">
      <c r="A138" s="15"/>
    </row>
    <row r="139" spans="1:1">
      <c r="A139" s="15"/>
    </row>
    <row r="140" spans="1:1">
      <c r="A140" s="15"/>
    </row>
    <row r="141" spans="1:1">
      <c r="A141" s="15"/>
    </row>
    <row r="142" spans="1:1">
      <c r="A142" s="15"/>
    </row>
    <row r="143" spans="1:1">
      <c r="A143" s="15"/>
    </row>
    <row r="144" spans="1:1">
      <c r="A144" s="15"/>
    </row>
    <row r="145" spans="1:1">
      <c r="A145" s="15"/>
    </row>
    <row r="146" spans="1:1">
      <c r="A146" s="15"/>
    </row>
    <row r="147" spans="1:1">
      <c r="A147" s="15"/>
    </row>
    <row r="148" spans="1:1">
      <c r="A148" s="15"/>
    </row>
    <row r="149" spans="1:1">
      <c r="A149" s="15"/>
    </row>
    <row r="150" spans="1:1">
      <c r="A150" s="15"/>
    </row>
    <row r="151" spans="1:1">
      <c r="A151" s="15"/>
    </row>
    <row r="152" spans="1:1">
      <c r="A152" s="15"/>
    </row>
    <row r="153" spans="1:1">
      <c r="A153" s="15"/>
    </row>
    <row r="154" spans="1:1">
      <c r="A154" s="15"/>
    </row>
    <row r="155" spans="1:1">
      <c r="A155" s="15"/>
    </row>
    <row r="156" spans="1:1">
      <c r="A156" s="15"/>
    </row>
    <row r="157" spans="1:1">
      <c r="A157" s="15"/>
    </row>
    <row r="158" spans="1:1">
      <c r="A158" s="15"/>
    </row>
    <row r="159" spans="1:1">
      <c r="A159" s="15"/>
    </row>
    <row r="160" spans="1:1">
      <c r="A160" s="15"/>
    </row>
    <row r="161" spans="1:1">
      <c r="A161" s="15"/>
    </row>
    <row r="162" spans="1:1">
      <c r="A162" s="15"/>
    </row>
    <row r="163" spans="1:1">
      <c r="A163" s="15"/>
    </row>
    <row r="164" spans="1:1">
      <c r="A164" s="15"/>
    </row>
    <row r="165" spans="1:1">
      <c r="A165" s="15"/>
    </row>
    <row r="166" spans="1:1">
      <c r="A166" s="15"/>
    </row>
    <row r="167" spans="1:1">
      <c r="A167" s="15"/>
    </row>
    <row r="168" spans="1:1">
      <c r="A168" s="15"/>
    </row>
    <row r="169" spans="1:1">
      <c r="A169" s="15"/>
    </row>
    <row r="170" spans="1:1">
      <c r="A170" s="15"/>
    </row>
    <row r="171" spans="1:1">
      <c r="A171" s="15"/>
    </row>
    <row r="172" spans="1:1">
      <c r="A172" s="15"/>
    </row>
    <row r="173" spans="1:1">
      <c r="A173" s="15"/>
    </row>
    <row r="174" spans="1:1">
      <c r="A174" s="15"/>
    </row>
    <row r="175" spans="1:1">
      <c r="A175" s="15"/>
    </row>
    <row r="176" spans="1:1">
      <c r="A176" s="15"/>
    </row>
    <row r="177" spans="1:1">
      <c r="A177" s="15"/>
    </row>
    <row r="178" spans="1:1">
      <c r="A178" s="15"/>
    </row>
    <row r="179" spans="1:1">
      <c r="A179" s="15"/>
    </row>
    <row r="180" spans="1:1">
      <c r="A180" s="15"/>
    </row>
    <row r="181" spans="1:1">
      <c r="A181" s="15"/>
    </row>
    <row r="182" spans="1:1">
      <c r="A182" s="15"/>
    </row>
    <row r="183" spans="1:1">
      <c r="A183" s="15"/>
    </row>
    <row r="184" spans="1:1">
      <c r="A184" s="15"/>
    </row>
    <row r="185" spans="1:1">
      <c r="A185" s="15"/>
    </row>
    <row r="186" spans="1:1">
      <c r="A186" s="15"/>
    </row>
    <row r="187" spans="1:1">
      <c r="A187" s="15"/>
    </row>
    <row r="188" spans="1:1">
      <c r="A188" s="15"/>
    </row>
    <row r="189" spans="1:1">
      <c r="A189" s="15"/>
    </row>
    <row r="190" spans="1:1">
      <c r="A190" s="15"/>
    </row>
    <row r="191" spans="1:1">
      <c r="A191" s="15"/>
    </row>
    <row r="192" spans="1:1">
      <c r="A192" s="15"/>
    </row>
    <row r="193" spans="1:1">
      <c r="A193" s="15"/>
    </row>
    <row r="194" spans="1:1">
      <c r="A194" s="15"/>
    </row>
    <row r="195" spans="1:1">
      <c r="A195" s="15"/>
    </row>
    <row r="196" spans="1:1">
      <c r="A196" s="15"/>
    </row>
    <row r="197" spans="1:1">
      <c r="A197" s="15"/>
    </row>
    <row r="198" spans="1:1">
      <c r="A198" s="15"/>
    </row>
    <row r="199" spans="1:1">
      <c r="A199" s="15"/>
    </row>
    <row r="200" spans="1:1">
      <c r="A200" s="15"/>
    </row>
    <row r="201" spans="1:1">
      <c r="A201" s="15"/>
    </row>
    <row r="202" spans="1:1">
      <c r="A202" s="15"/>
    </row>
    <row r="203" spans="1:1">
      <c r="A203" s="15"/>
    </row>
    <row r="204" spans="1:1">
      <c r="A204" s="15"/>
    </row>
    <row r="205" spans="1:1">
      <c r="A205" s="15"/>
    </row>
    <row r="206" spans="1:1">
      <c r="A206" s="15"/>
    </row>
    <row r="207" spans="1:1">
      <c r="A207" s="15"/>
    </row>
    <row r="208" spans="1:1">
      <c r="A208" s="15"/>
    </row>
    <row r="209" spans="1:1">
      <c r="A209" s="15"/>
    </row>
    <row r="210" spans="1:1">
      <c r="A210" s="15"/>
    </row>
    <row r="211" spans="1:1">
      <c r="A211" s="15"/>
    </row>
    <row r="212" spans="1:1">
      <c r="A212" s="15"/>
    </row>
    <row r="213" spans="1:1">
      <c r="A213" s="15"/>
    </row>
    <row r="214" spans="1:1">
      <c r="A214" s="15"/>
    </row>
    <row r="215" spans="1:1">
      <c r="A215" s="15"/>
    </row>
    <row r="216" spans="1:1">
      <c r="A216" s="15"/>
    </row>
    <row r="217" spans="1:1">
      <c r="A217" s="15"/>
    </row>
    <row r="218" spans="1:1">
      <c r="A218" s="15"/>
    </row>
    <row r="219" spans="1:1">
      <c r="A219" s="15"/>
    </row>
    <row r="220" spans="1:1">
      <c r="A220" s="15"/>
    </row>
    <row r="221" spans="1:1">
      <c r="A221" s="15"/>
    </row>
    <row r="222" spans="1:1">
      <c r="A222" s="15"/>
    </row>
    <row r="223" spans="1:1">
      <c r="A223" s="15"/>
    </row>
    <row r="224" spans="1:1">
      <c r="A224" s="15"/>
    </row>
    <row r="225" spans="1:1">
      <c r="A225" s="15"/>
    </row>
    <row r="226" spans="1:1">
      <c r="A226" s="15"/>
    </row>
    <row r="227" spans="1:1">
      <c r="A227" s="15"/>
    </row>
    <row r="228" spans="1:1">
      <c r="A228" s="15"/>
    </row>
    <row r="229" spans="1:1">
      <c r="A229" s="15"/>
    </row>
    <row r="230" spans="1:1">
      <c r="A230" s="15"/>
    </row>
    <row r="231" spans="1:1">
      <c r="A231" s="15"/>
    </row>
    <row r="232" spans="1:1">
      <c r="A232" s="15"/>
    </row>
    <row r="233" spans="1:1">
      <c r="A233" s="15"/>
    </row>
    <row r="234" spans="1:1">
      <c r="A234" s="15"/>
    </row>
    <row r="235" spans="1:1">
      <c r="A235" s="15"/>
    </row>
    <row r="236" spans="1:1">
      <c r="A236" s="15"/>
    </row>
    <row r="237" spans="1:1">
      <c r="A237" s="15"/>
    </row>
    <row r="238" spans="1:1">
      <c r="A238" s="15"/>
    </row>
    <row r="239" spans="1:1">
      <c r="A239" s="15"/>
    </row>
    <row r="240" spans="1:1">
      <c r="A240" s="15"/>
    </row>
    <row r="241" spans="1:1">
      <c r="A241" s="15"/>
    </row>
    <row r="242" spans="1:1">
      <c r="A242" s="15"/>
    </row>
    <row r="243" spans="1:1">
      <c r="A243" s="15"/>
    </row>
    <row r="244" spans="1:1">
      <c r="A244" s="15"/>
    </row>
    <row r="245" spans="1:1">
      <c r="A245" s="15"/>
    </row>
    <row r="246" spans="1:1">
      <c r="A246" s="15"/>
    </row>
    <row r="247" spans="1:1">
      <c r="A247" s="15"/>
    </row>
    <row r="248" spans="1:1">
      <c r="A248" s="15"/>
    </row>
    <row r="249" spans="1:1">
      <c r="A249" s="15"/>
    </row>
    <row r="250" spans="1:1">
      <c r="A250" s="15"/>
    </row>
    <row r="251" spans="1:1">
      <c r="A251" s="15"/>
    </row>
    <row r="252" spans="1:1">
      <c r="A252" s="15"/>
    </row>
    <row r="253" spans="1:1">
      <c r="A253" s="15"/>
    </row>
    <row r="254" spans="1:1">
      <c r="A254" s="15"/>
    </row>
    <row r="255" spans="1:1">
      <c r="A255" s="15"/>
    </row>
    <row r="256" spans="1:1">
      <c r="A256" s="15"/>
    </row>
    <row r="257" spans="1:1">
      <c r="A257" s="15"/>
    </row>
    <row r="258" spans="1:1">
      <c r="A258" s="15"/>
    </row>
    <row r="259" spans="1:1">
      <c r="A259" s="15"/>
    </row>
    <row r="260" spans="1:1">
      <c r="A260" s="15"/>
    </row>
    <row r="261" spans="1:1">
      <c r="A261" s="15"/>
    </row>
    <row r="262" spans="1:1">
      <c r="A262" s="15"/>
    </row>
    <row r="263" spans="1:1">
      <c r="A263" s="15"/>
    </row>
    <row r="264" spans="1:1">
      <c r="A264" s="15"/>
    </row>
    <row r="265" spans="1:1">
      <c r="A265" s="15"/>
    </row>
    <row r="266" spans="1:1">
      <c r="A266" s="15"/>
    </row>
    <row r="267" spans="1:1">
      <c r="A267" s="15"/>
    </row>
    <row r="268" spans="1:1">
      <c r="A268" s="15"/>
    </row>
    <row r="269" spans="1:1">
      <c r="A269" s="15"/>
    </row>
    <row r="270" spans="1:1">
      <c r="A270" s="15"/>
    </row>
    <row r="271" spans="1:1">
      <c r="A271" s="15"/>
    </row>
    <row r="272" spans="1:1">
      <c r="A272" s="15"/>
    </row>
    <row r="273" spans="1:1">
      <c r="A273" s="15"/>
    </row>
    <row r="274" spans="1:1">
      <c r="A274" s="15"/>
    </row>
    <row r="275" spans="1:1">
      <c r="A275" s="15"/>
    </row>
    <row r="276" spans="1:1">
      <c r="A276" s="15"/>
    </row>
    <row r="277" spans="1:1">
      <c r="A277" s="15"/>
    </row>
    <row r="278" spans="1:1">
      <c r="A278" s="15"/>
    </row>
    <row r="279" spans="1:1">
      <c r="A279" s="15"/>
    </row>
    <row r="280" spans="1:1">
      <c r="A280" s="15"/>
    </row>
    <row r="281" spans="1:1">
      <c r="A281" s="15"/>
    </row>
    <row r="282" spans="1:1">
      <c r="A282" s="15"/>
    </row>
    <row r="283" spans="1:1">
      <c r="A283" s="15"/>
    </row>
    <row r="284" spans="1:1">
      <c r="A284" s="15"/>
    </row>
    <row r="285" spans="1:1">
      <c r="A285" s="15"/>
    </row>
    <row r="286" spans="1:1">
      <c r="A286" s="15"/>
    </row>
    <row r="287" spans="1:1">
      <c r="A287" s="15"/>
    </row>
    <row r="288" spans="1:1">
      <c r="A288" s="15"/>
    </row>
    <row r="289" spans="1:1">
      <c r="A289" s="15"/>
    </row>
    <row r="290" spans="1:1">
      <c r="A290" s="15"/>
    </row>
    <row r="291" spans="1:1">
      <c r="A291" s="15"/>
    </row>
    <row r="292" spans="1:1">
      <c r="A292" s="15"/>
    </row>
    <row r="293" spans="1:1">
      <c r="A293" s="15"/>
    </row>
    <row r="294" spans="1:1">
      <c r="A294" s="15"/>
    </row>
    <row r="295" spans="1:1">
      <c r="A295" s="15"/>
    </row>
    <row r="296" spans="1:1">
      <c r="A296" s="15"/>
    </row>
    <row r="297" spans="1:1">
      <c r="A297" s="15"/>
    </row>
    <row r="298" spans="1:1">
      <c r="A298" s="15"/>
    </row>
    <row r="299" spans="1:1">
      <c r="A299" s="15"/>
    </row>
    <row r="300" spans="1:1">
      <c r="A300" s="15"/>
    </row>
    <row r="301" spans="1:1">
      <c r="A301" s="15"/>
    </row>
    <row r="302" spans="1:1">
      <c r="A302" s="15"/>
    </row>
    <row r="303" spans="1:1">
      <c r="A303" s="15"/>
    </row>
    <row r="304" spans="1:1">
      <c r="A304" s="15"/>
    </row>
    <row r="305" spans="1:1">
      <c r="A305" s="15"/>
    </row>
    <row r="306" spans="1:1">
      <c r="A306" s="15"/>
    </row>
    <row r="307" spans="1:1">
      <c r="A307" s="15"/>
    </row>
    <row r="308" spans="1:1">
      <c r="A308" s="15"/>
    </row>
    <row r="309" spans="1:1">
      <c r="A309" s="15"/>
    </row>
    <row r="310" spans="1:1">
      <c r="A310" s="15"/>
    </row>
    <row r="311" spans="1:1">
      <c r="A311" s="15"/>
    </row>
    <row r="312" spans="1:1">
      <c r="A312" s="15"/>
    </row>
    <row r="313" spans="1:1">
      <c r="A313" s="15"/>
    </row>
    <row r="314" spans="1:1">
      <c r="A314" s="15"/>
    </row>
    <row r="315" spans="1:1">
      <c r="A315" s="15"/>
    </row>
    <row r="316" spans="1:1">
      <c r="A316" s="15"/>
    </row>
    <row r="317" spans="1:1">
      <c r="A317" s="15"/>
    </row>
    <row r="318" spans="1:1">
      <c r="A318" s="15"/>
    </row>
    <row r="319" spans="1:1">
      <c r="A319" s="15"/>
    </row>
    <row r="320" spans="1:1">
      <c r="A320" s="15"/>
    </row>
    <row r="321" spans="1:1">
      <c r="A321" s="15"/>
    </row>
    <row r="322" spans="1:1">
      <c r="A322" s="15"/>
    </row>
    <row r="323" spans="1:1">
      <c r="A323" s="15"/>
    </row>
    <row r="324" spans="1:1">
      <c r="A324" s="15"/>
    </row>
    <row r="325" spans="1:1">
      <c r="A325" s="15"/>
    </row>
    <row r="326" spans="1:1">
      <c r="A326" s="15"/>
    </row>
    <row r="327" spans="1:1">
      <c r="A327" s="15"/>
    </row>
    <row r="328" spans="1:1">
      <c r="A328" s="15"/>
    </row>
    <row r="329" spans="1:1">
      <c r="A329" s="15"/>
    </row>
    <row r="330" spans="1:1">
      <c r="A330" s="15"/>
    </row>
    <row r="331" spans="1:1">
      <c r="A331" s="15"/>
    </row>
    <row r="332" spans="1:1">
      <c r="A332" s="15"/>
    </row>
    <row r="333" spans="1:1">
      <c r="A333" s="15"/>
    </row>
    <row r="334" spans="1:1">
      <c r="A334" s="15"/>
    </row>
    <row r="335" spans="1:1">
      <c r="A335" s="15"/>
    </row>
    <row r="336" spans="1:1">
      <c r="A336" s="15"/>
    </row>
    <row r="337" spans="1:1">
      <c r="A337" s="15"/>
    </row>
    <row r="338" spans="1:1">
      <c r="A338" s="15"/>
    </row>
    <row r="339" spans="1:1">
      <c r="A339" s="15"/>
    </row>
    <row r="340" spans="1:1">
      <c r="A340" s="15"/>
    </row>
    <row r="341" spans="1:1">
      <c r="A341" s="15"/>
    </row>
    <row r="342" spans="1:1">
      <c r="A342" s="15"/>
    </row>
    <row r="343" spans="1:1">
      <c r="A343" s="15"/>
    </row>
    <row r="344" spans="1:1">
      <c r="A344" s="15"/>
    </row>
    <row r="345" spans="1:1">
      <c r="A345" s="15"/>
    </row>
    <row r="346" spans="1:1">
      <c r="A346" s="15"/>
    </row>
    <row r="347" spans="1:1">
      <c r="A347" s="15"/>
    </row>
    <row r="348" spans="1:1">
      <c r="A348" s="15"/>
    </row>
    <row r="349" spans="1:1">
      <c r="A349" s="15"/>
    </row>
    <row r="350" spans="1:1">
      <c r="A350" s="15"/>
    </row>
    <row r="351" spans="1:1">
      <c r="A351" s="15"/>
    </row>
    <row r="352" spans="1:1">
      <c r="A352" s="15"/>
    </row>
    <row r="353" spans="1:1">
      <c r="A353" s="15"/>
    </row>
    <row r="354" spans="1:1">
      <c r="A354" s="15"/>
    </row>
    <row r="355" spans="1:1">
      <c r="A355" s="15"/>
    </row>
    <row r="356" spans="1:1">
      <c r="A356" s="15"/>
    </row>
    <row r="357" spans="1:1">
      <c r="A357" s="15"/>
    </row>
    <row r="358" spans="1:1">
      <c r="A358" s="15"/>
    </row>
    <row r="359" spans="1:1">
      <c r="A359" s="15"/>
    </row>
    <row r="360" spans="1:1">
      <c r="A360" s="15"/>
    </row>
    <row r="361" spans="1:1">
      <c r="A361" s="15"/>
    </row>
    <row r="362" spans="1:1">
      <c r="A362" s="15"/>
    </row>
    <row r="363" spans="1:1">
      <c r="A363" s="15"/>
    </row>
    <row r="364" spans="1:1">
      <c r="A364" s="15"/>
    </row>
    <row r="365" spans="1:1">
      <c r="A365" s="15"/>
    </row>
    <row r="366" spans="1:1">
      <c r="A366" s="15"/>
    </row>
    <row r="367" spans="1:1">
      <c r="A367" s="15"/>
    </row>
    <row r="368" spans="1:1">
      <c r="A368" s="15"/>
    </row>
    <row r="369" spans="1:1">
      <c r="A369" s="15"/>
    </row>
    <row r="370" spans="1:1">
      <c r="A370" s="15"/>
    </row>
    <row r="371" spans="1:1">
      <c r="A371" s="15"/>
    </row>
    <row r="372" spans="1:1">
      <c r="A372" s="15"/>
    </row>
    <row r="373" spans="1:1">
      <c r="A373" s="15"/>
    </row>
    <row r="374" spans="1:1">
      <c r="A374" s="15"/>
    </row>
    <row r="375" spans="1:1">
      <c r="A375" s="15"/>
    </row>
    <row r="376" spans="1:1">
      <c r="A376" s="15"/>
    </row>
    <row r="377" spans="1:1">
      <c r="A377" s="15"/>
    </row>
    <row r="378" spans="1:1">
      <c r="A378" s="15"/>
    </row>
    <row r="379" spans="1:1">
      <c r="A379" s="15"/>
    </row>
    <row r="380" spans="1:1">
      <c r="A380" s="15"/>
    </row>
    <row r="381" spans="1:1">
      <c r="A381" s="15"/>
    </row>
    <row r="382" spans="1:1">
      <c r="A382" s="15"/>
    </row>
    <row r="383" spans="1:1">
      <c r="A383" s="15"/>
    </row>
    <row r="384" spans="1:1">
      <c r="A384" s="15"/>
    </row>
    <row r="385" spans="1:1">
      <c r="A385" s="15"/>
    </row>
    <row r="386" spans="1:1">
      <c r="A386" s="15"/>
    </row>
    <row r="387" spans="1:1">
      <c r="A387" s="15"/>
    </row>
    <row r="388" spans="1:1">
      <c r="A388" s="15"/>
    </row>
    <row r="389" spans="1:1">
      <c r="A389" s="15"/>
    </row>
    <row r="390" spans="1:1">
      <c r="A390" s="15"/>
    </row>
    <row r="391" spans="1:1">
      <c r="A391" s="15"/>
    </row>
    <row r="392" spans="1:1">
      <c r="A392" s="15"/>
    </row>
    <row r="393" spans="1:1">
      <c r="A393" s="15"/>
    </row>
    <row r="394" spans="1:1">
      <c r="A394" s="15"/>
    </row>
    <row r="395" spans="1:1">
      <c r="A395" s="15"/>
    </row>
    <row r="396" spans="1:1">
      <c r="A396" s="15"/>
    </row>
    <row r="397" spans="1:1">
      <c r="A397" s="15"/>
    </row>
    <row r="398" spans="1:1">
      <c r="A398" s="15"/>
    </row>
    <row r="399" spans="1:1">
      <c r="A399" s="15"/>
    </row>
    <row r="400" spans="1:1">
      <c r="A400" s="15"/>
    </row>
    <row r="401" spans="1:1">
      <c r="A401" s="15"/>
    </row>
    <row r="402" spans="1:1">
      <c r="A402" s="15"/>
    </row>
    <row r="403" spans="1:1">
      <c r="A403" s="15"/>
    </row>
    <row r="404" spans="1:1">
      <c r="A404" s="15"/>
    </row>
    <row r="405" spans="1:1">
      <c r="A405" s="15"/>
    </row>
    <row r="406" spans="1:1">
      <c r="A406" s="15"/>
    </row>
    <row r="407" spans="1:1">
      <c r="A407" s="15"/>
    </row>
    <row r="408" spans="1:1">
      <c r="A408" s="15"/>
    </row>
    <row r="409" spans="1:1">
      <c r="A409" s="15"/>
    </row>
    <row r="410" spans="1:1">
      <c r="A410" s="15"/>
    </row>
    <row r="411" spans="1:1">
      <c r="A411" s="15"/>
    </row>
    <row r="412" spans="1:1">
      <c r="A412" s="15"/>
    </row>
    <row r="413" spans="1:1">
      <c r="A413" s="15"/>
    </row>
    <row r="414" spans="1:1">
      <c r="A414" s="15"/>
    </row>
    <row r="415" spans="1:1">
      <c r="A415" s="15"/>
    </row>
    <row r="416" spans="1:1">
      <c r="A416" s="15"/>
    </row>
    <row r="417" spans="1:1">
      <c r="A417" s="15"/>
    </row>
    <row r="418" spans="1:1">
      <c r="A418" s="15"/>
    </row>
    <row r="419" spans="1:1">
      <c r="A419" s="15"/>
    </row>
    <row r="420" spans="1:1">
      <c r="A420" s="15"/>
    </row>
    <row r="421" spans="1:1">
      <c r="A421" s="15"/>
    </row>
    <row r="422" spans="1:1">
      <c r="A422" s="15"/>
    </row>
    <row r="423" spans="1:1">
      <c r="A423" s="15"/>
    </row>
    <row r="424" spans="1:1">
      <c r="A424" s="15"/>
    </row>
    <row r="425" spans="1:1">
      <c r="A425" s="15"/>
    </row>
    <row r="426" spans="1:1">
      <c r="A426" s="15"/>
    </row>
    <row r="427" spans="1:1">
      <c r="A427" s="15"/>
    </row>
    <row r="428" spans="1:1">
      <c r="A428" s="15"/>
    </row>
    <row r="429" spans="1:1">
      <c r="A429" s="15"/>
    </row>
    <row r="430" spans="1:1">
      <c r="A430" s="15"/>
    </row>
    <row r="431" spans="1:1">
      <c r="A431" s="15"/>
    </row>
    <row r="432" spans="1:1">
      <c r="A432" s="15"/>
    </row>
    <row r="433" spans="1:1">
      <c r="A433" s="15"/>
    </row>
    <row r="434" spans="1:1">
      <c r="A434" s="15"/>
    </row>
    <row r="435" spans="1:1">
      <c r="A435" s="15"/>
    </row>
    <row r="436" spans="1:1">
      <c r="A436" s="15"/>
    </row>
    <row r="437" spans="1:1">
      <c r="A437" s="15"/>
    </row>
    <row r="438" spans="1:1">
      <c r="A438" s="15"/>
    </row>
    <row r="439" spans="1:1">
      <c r="A439" s="15"/>
    </row>
    <row r="440" spans="1:1">
      <c r="A440" s="15"/>
    </row>
    <row r="441" spans="1:1">
      <c r="A441" s="15"/>
    </row>
    <row r="442" spans="1:1">
      <c r="A442" s="15"/>
    </row>
    <row r="443" spans="1:1">
      <c r="A443" s="15"/>
    </row>
    <row r="444" spans="1:1">
      <c r="A444" s="15"/>
    </row>
    <row r="445" spans="1:1">
      <c r="A445" s="15"/>
    </row>
    <row r="446" spans="1:1">
      <c r="A446" s="15"/>
    </row>
    <row r="447" spans="1:1">
      <c r="A447" s="15"/>
    </row>
    <row r="448" spans="1:1">
      <c r="A448" s="15"/>
    </row>
    <row r="449" spans="1:1">
      <c r="A449" s="15"/>
    </row>
    <row r="450" spans="1:1">
      <c r="A450" s="15"/>
    </row>
    <row r="451" spans="1:1">
      <c r="A451" s="15"/>
    </row>
    <row r="452" spans="1:1">
      <c r="A452" s="15"/>
    </row>
    <row r="453" spans="1:1">
      <c r="A453" s="15"/>
    </row>
    <row r="454" spans="1:1">
      <c r="A454" s="15"/>
    </row>
    <row r="455" spans="1:1">
      <c r="A455" s="15"/>
    </row>
    <row r="456" spans="1:1">
      <c r="A456" s="15"/>
    </row>
    <row r="457" spans="1:1">
      <c r="A457" s="15"/>
    </row>
    <row r="458" spans="1:1">
      <c r="A458" s="15"/>
    </row>
    <row r="459" spans="1:1">
      <c r="A459" s="15"/>
    </row>
    <row r="460" spans="1:1">
      <c r="A460" s="15"/>
    </row>
    <row r="461" spans="1:1">
      <c r="A461" s="15"/>
    </row>
    <row r="462" spans="1:1">
      <c r="A462" s="15"/>
    </row>
    <row r="463" spans="1:1">
      <c r="A463" s="15"/>
    </row>
    <row r="464" spans="1:1">
      <c r="A464" s="15"/>
    </row>
    <row r="465" spans="1:1">
      <c r="A465" s="15"/>
    </row>
    <row r="466" spans="1:1">
      <c r="A466" s="15"/>
    </row>
    <row r="467" spans="1:1">
      <c r="A467" s="15"/>
    </row>
    <row r="468" spans="1:1">
      <c r="A468" s="15"/>
    </row>
    <row r="469" spans="1:1">
      <c r="A469" s="15"/>
    </row>
    <row r="470" spans="1:1">
      <c r="A470" s="15"/>
    </row>
    <row r="471" spans="1:1">
      <c r="A471" s="15"/>
    </row>
    <row r="472" spans="1:1">
      <c r="A472" s="15"/>
    </row>
    <row r="473" spans="1:1">
      <c r="A473" s="15"/>
    </row>
    <row r="474" spans="1:1">
      <c r="A474" s="15"/>
    </row>
    <row r="475" spans="1:1">
      <c r="A475" s="15"/>
    </row>
    <row r="476" spans="1:1">
      <c r="A476" s="15"/>
    </row>
    <row r="477" spans="1:1">
      <c r="A477" s="15"/>
    </row>
    <row r="478" spans="1:1">
      <c r="A478" s="15"/>
    </row>
    <row r="479" spans="1:1">
      <c r="A479" s="15"/>
    </row>
    <row r="480" spans="1:1">
      <c r="A480" s="15"/>
    </row>
    <row r="481" spans="1:1">
      <c r="A481" s="15"/>
    </row>
    <row r="482" spans="1:1">
      <c r="A482" s="15"/>
    </row>
    <row r="483" spans="1:1">
      <c r="A483" s="15"/>
    </row>
    <row r="484" spans="1:1">
      <c r="A484" s="15"/>
    </row>
    <row r="485" spans="1:1">
      <c r="A485" s="15"/>
    </row>
    <row r="486" spans="1:1">
      <c r="A486" s="15"/>
    </row>
    <row r="487" spans="1:1">
      <c r="A487" s="15"/>
    </row>
    <row r="488" spans="1:1">
      <c r="A488" s="15"/>
    </row>
    <row r="489" spans="1:1">
      <c r="A489" s="15"/>
    </row>
    <row r="490" spans="1:1">
      <c r="A490" s="15"/>
    </row>
    <row r="491" spans="1:1">
      <c r="A491" s="15"/>
    </row>
    <row r="492" spans="1:1">
      <c r="A492" s="15"/>
    </row>
    <row r="493" spans="1:1">
      <c r="A493" s="15"/>
    </row>
    <row r="494" spans="1:1">
      <c r="A494" s="15"/>
    </row>
    <row r="495" spans="1:1">
      <c r="A495" s="15"/>
    </row>
    <row r="496" spans="1:1">
      <c r="A496" s="15"/>
    </row>
    <row r="497" spans="1:1">
      <c r="A497" s="15"/>
    </row>
    <row r="498" spans="1:1">
      <c r="A498" s="15"/>
    </row>
    <row r="499" spans="1:1">
      <c r="A499" s="15"/>
    </row>
    <row r="500" spans="1:1">
      <c r="A500" s="15"/>
    </row>
    <row r="501" spans="1:1">
      <c r="A501" s="1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showGridLines="0" workbookViewId="0">
      <selection activeCell="F2" sqref="F2"/>
    </sheetView>
  </sheetViews>
  <sheetFormatPr baseColWidth="10" defaultColWidth="8.6640625" defaultRowHeight="14"/>
  <cols>
    <col min="1" max="3" width="23" customWidth="1"/>
    <col min="4" max="4" width="28" customWidth="1"/>
    <col min="5" max="6" width="23" customWidth="1"/>
  </cols>
  <sheetData>
    <row r="1" spans="1:6">
      <c r="A1" s="12" t="s">
        <v>27</v>
      </c>
      <c r="B1" s="13" t="s">
        <v>30</v>
      </c>
      <c r="C1" s="13" t="s">
        <v>31</v>
      </c>
      <c r="D1" s="13" t="s">
        <v>32</v>
      </c>
      <c r="E1" s="13" t="s">
        <v>33</v>
      </c>
      <c r="F1" s="14" t="s">
        <v>36</v>
      </c>
    </row>
    <row r="2" spans="1:6">
      <c r="A2" s="6" t="s">
        <v>39</v>
      </c>
      <c r="B2" s="7" t="s">
        <v>104</v>
      </c>
      <c r="C2" s="7" t="s">
        <v>42</v>
      </c>
      <c r="D2" s="7" t="s">
        <v>76</v>
      </c>
      <c r="E2" s="7" t="s">
        <v>50</v>
      </c>
      <c r="F2" s="8" t="s">
        <v>245</v>
      </c>
    </row>
    <row r="3" spans="1:6">
      <c r="A3" s="6" t="s">
        <v>69</v>
      </c>
      <c r="B3" s="7" t="s">
        <v>41</v>
      </c>
      <c r="C3" s="7" t="s">
        <v>108</v>
      </c>
      <c r="D3" s="7" t="s">
        <v>207</v>
      </c>
      <c r="E3" s="7" t="s">
        <v>44</v>
      </c>
      <c r="F3" s="8" t="s">
        <v>45</v>
      </c>
    </row>
    <row r="4" spans="1:6">
      <c r="A4" s="6" t="s">
        <v>102</v>
      </c>
      <c r="B4" s="7"/>
      <c r="C4" s="7" t="s">
        <v>48</v>
      </c>
      <c r="D4" s="7" t="s">
        <v>138</v>
      </c>
      <c r="E4" s="7"/>
      <c r="F4" s="8"/>
    </row>
    <row r="5" spans="1:6">
      <c r="A5" s="6" t="s">
        <v>136</v>
      </c>
      <c r="B5" s="7"/>
      <c r="C5" s="7"/>
      <c r="D5" s="7" t="s">
        <v>43</v>
      </c>
      <c r="E5" s="7"/>
      <c r="F5" s="8"/>
    </row>
    <row r="6" spans="1:6">
      <c r="A6" s="6" t="s">
        <v>160</v>
      </c>
      <c r="B6" s="7"/>
      <c r="C6" s="7"/>
      <c r="D6" s="7" t="s">
        <v>119</v>
      </c>
      <c r="E6" s="7"/>
      <c r="F6" s="8"/>
    </row>
    <row r="7" spans="1:6">
      <c r="A7" s="6" t="s">
        <v>188</v>
      </c>
      <c r="B7" s="7"/>
      <c r="C7" s="7"/>
      <c r="D7" s="7" t="s">
        <v>49</v>
      </c>
      <c r="E7" s="7"/>
      <c r="F7" s="8"/>
    </row>
    <row r="8" spans="1:6">
      <c r="A8" s="6"/>
      <c r="B8" s="7"/>
      <c r="C8" s="7"/>
      <c r="D8" s="7" t="s">
        <v>71</v>
      </c>
      <c r="E8" s="7"/>
      <c r="F8" s="8"/>
    </row>
    <row r="9" spans="1:6">
      <c r="A9" s="6"/>
      <c r="B9" s="7"/>
      <c r="C9" s="7"/>
      <c r="D9" s="7" t="s">
        <v>97</v>
      </c>
      <c r="E9" s="7"/>
      <c r="F9" s="8"/>
    </row>
    <row r="10" spans="1:6">
      <c r="A10" s="6"/>
      <c r="B10" s="7"/>
      <c r="C10" s="7"/>
      <c r="D10" s="7" t="s">
        <v>92</v>
      </c>
      <c r="E10" s="7"/>
      <c r="F10" s="8"/>
    </row>
    <row r="11" spans="1:6">
      <c r="A11" s="9"/>
      <c r="B11" s="10"/>
      <c r="C11" s="10"/>
      <c r="D11" s="10" t="s">
        <v>157</v>
      </c>
      <c r="E11" s="10"/>
      <c r="F11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13"/>
  <sheetViews>
    <sheetView showGridLines="0" topLeftCell="A47" workbookViewId="0">
      <selection activeCell="A83" sqref="A83"/>
    </sheetView>
  </sheetViews>
  <sheetFormatPr baseColWidth="10" defaultColWidth="8.6640625" defaultRowHeight="14"/>
  <cols>
    <col min="1" max="1" width="34" customWidth="1"/>
    <col min="2" max="2" width="18" customWidth="1"/>
    <col min="3" max="6" width="14" customWidth="1"/>
  </cols>
  <sheetData>
    <row r="1" spans="1:6">
      <c r="A1" s="38" t="s">
        <v>246</v>
      </c>
      <c r="B1" s="38"/>
      <c r="C1" s="38"/>
      <c r="D1" s="38"/>
      <c r="E1" s="38"/>
      <c r="F1" s="38"/>
    </row>
    <row r="2" spans="1:6">
      <c r="A2" s="38"/>
      <c r="B2" s="38"/>
      <c r="C2" s="38"/>
      <c r="D2" s="38"/>
      <c r="E2" s="38"/>
      <c r="F2" s="38"/>
    </row>
    <row r="4" spans="1:6">
      <c r="A4" s="3" t="s">
        <v>247</v>
      </c>
      <c r="B4" s="3" t="s">
        <v>248</v>
      </c>
    </row>
    <row r="5" spans="1:6">
      <c r="A5" t="s">
        <v>249</v>
      </c>
      <c r="B5">
        <f>COUNTA(Ubicaciones!$A$2:$A$501)</f>
        <v>72</v>
      </c>
    </row>
    <row r="6" spans="1:6">
      <c r="A6" t="s">
        <v>250</v>
      </c>
      <c r="B6">
        <f>COUNTA(Indicadores!$A$2:$A$501)</f>
        <v>72</v>
      </c>
    </row>
    <row r="7" spans="1:6">
      <c r="A7" t="s">
        <v>251</v>
      </c>
      <c r="B7">
        <f>COUNTIF(C14:C513,"DUPLICADO")</f>
        <v>0</v>
      </c>
    </row>
    <row r="8" spans="1:6">
      <c r="A8" t="s">
        <v>252</v>
      </c>
      <c r="B8">
        <f>COUNTIF(B14:B513,"FALTA")</f>
        <v>428</v>
      </c>
    </row>
    <row r="10" spans="1:6" ht="14.5">
      <c r="A10" s="33" t="s">
        <v>253</v>
      </c>
      <c r="B10" s="33"/>
      <c r="C10" s="33"/>
      <c r="D10" s="33"/>
      <c r="E10" s="33"/>
      <c r="F10" s="33"/>
    </row>
    <row r="11" spans="1:6" ht="14.5">
      <c r="A11" s="5"/>
      <c r="B11" s="5"/>
      <c r="C11" s="5"/>
      <c r="D11" s="5"/>
      <c r="E11" s="5"/>
      <c r="F11" s="5"/>
    </row>
    <row r="13" spans="1:6" ht="28">
      <c r="A13" s="3" t="s">
        <v>254</v>
      </c>
      <c r="B13" s="3" t="s">
        <v>255</v>
      </c>
      <c r="C13" s="3" t="s">
        <v>256</v>
      </c>
    </row>
    <row r="14" spans="1:6">
      <c r="A14" t="str">
        <f>Ubicaciones!A2</f>
        <v>38401</v>
      </c>
      <c r="B14" t="str">
        <f>IF(A14="","",IF(COUNTIF(Indicadores!$A$2:$A$501,A14)=0,"FALTA","OK"))</f>
        <v>OK</v>
      </c>
      <c r="C14" t="str">
        <f>IF(A14="","",IF(COUNTIF(Ubicaciones!$A$2:$A$501,A14)&gt;1,"DUPLICADO","OK"))</f>
        <v>OK</v>
      </c>
    </row>
    <row r="15" spans="1:6">
      <c r="A15" t="str">
        <f>Ubicaciones!A3</f>
        <v>38604</v>
      </c>
      <c r="B15" t="str">
        <f>IF(A15="","",IF(COUNTIF(Indicadores!$A$2:$A$501,A15)=0,"FALTA","OK"))</f>
        <v>OK</v>
      </c>
      <c r="C15" t="str">
        <f>IF(A15="","",IF(COUNTIF(Ubicaciones!$A$2:$A$501,A15)&gt;1,"DUPLICADO","OK"))</f>
        <v>OK</v>
      </c>
    </row>
    <row r="16" spans="1:6">
      <c r="A16" t="str">
        <f>Ubicaciones!A4</f>
        <v>43193</v>
      </c>
      <c r="B16" t="str">
        <f>IF(A16="","",IF(COUNTIF(Indicadores!$A$2:$A$501,A16)=0,"FALTA","OK"))</f>
        <v>OK</v>
      </c>
      <c r="C16" t="str">
        <f>IF(A16="","",IF(COUNTIF(Ubicaciones!$A$2:$A$501,A16)&gt;1,"DUPLICADO","OK"))</f>
        <v>OK</v>
      </c>
    </row>
    <row r="17" spans="1:3">
      <c r="A17" t="str">
        <f>Ubicaciones!A5</f>
        <v>38333</v>
      </c>
      <c r="B17" t="str">
        <f>IF(A17="","",IF(COUNTIF(Indicadores!$A$2:$A$501,A17)=0,"FALTA","OK"))</f>
        <v>OK</v>
      </c>
      <c r="C17" t="str">
        <f>IF(A17="","",IF(COUNTIF(Ubicaciones!$A$2:$A$501,A17)&gt;1,"DUPLICADO","OK"))</f>
        <v>OK</v>
      </c>
    </row>
    <row r="18" spans="1:3">
      <c r="A18" t="str">
        <f>Ubicaciones!A6</f>
        <v>38368</v>
      </c>
      <c r="B18" t="str">
        <f>IF(A18="","",IF(COUNTIF(Indicadores!$A$2:$A$501,A18)=0,"FALTA","OK"))</f>
        <v>OK</v>
      </c>
      <c r="C18" t="str">
        <f>IF(A18="","",IF(COUNTIF(Ubicaciones!$A$2:$A$501,A18)&gt;1,"DUPLICADO","OK"))</f>
        <v>OK</v>
      </c>
    </row>
    <row r="19" spans="1:3">
      <c r="A19" t="str">
        <f>Ubicaciones!A7</f>
        <v>38515</v>
      </c>
      <c r="B19" t="str">
        <f>IF(A19="","",IF(COUNTIF(Indicadores!$A$2:$A$501,A19)=0,"FALTA","OK"))</f>
        <v>OK</v>
      </c>
      <c r="C19" t="str">
        <f>IF(A19="","",IF(COUNTIF(Ubicaciones!$A$2:$A$501,A19)&gt;1,"DUPLICADO","OK"))</f>
        <v>OK</v>
      </c>
    </row>
    <row r="20" spans="1:3">
      <c r="A20" t="str">
        <f>Ubicaciones!A8</f>
        <v>38456</v>
      </c>
      <c r="B20" t="str">
        <f>IF(A20="","",IF(COUNTIF(Indicadores!$A$2:$A$501,A20)=0,"FALTA","OK"))</f>
        <v>OK</v>
      </c>
      <c r="C20" t="str">
        <f>IF(A20="","",IF(COUNTIF(Ubicaciones!$A$2:$A$501,A20)&gt;1,"DUPLICADO","OK"))</f>
        <v>OK</v>
      </c>
    </row>
    <row r="21" spans="1:3">
      <c r="A21" t="str">
        <f>Ubicaciones!A9</f>
        <v>38339</v>
      </c>
      <c r="B21" t="str">
        <f>IF(A21="","",IF(COUNTIF(Indicadores!$A$2:$A$501,A21)=0,"FALTA","OK"))</f>
        <v>OK</v>
      </c>
      <c r="C21" t="str">
        <f>IF(A21="","",IF(COUNTIF(Ubicaciones!$A$2:$A$501,A21)&gt;1,"DUPLICADO","OK"))</f>
        <v>OK</v>
      </c>
    </row>
    <row r="22" spans="1:3">
      <c r="A22" t="str">
        <f>Ubicaciones!A10</f>
        <v>38862</v>
      </c>
      <c r="B22" t="str">
        <f>IF(A22="","",IF(COUNTIF(Indicadores!$A$2:$A$501,A22)=0,"FALTA","OK"))</f>
        <v>OK</v>
      </c>
      <c r="C22" t="str">
        <f>IF(A22="","",IF(COUNTIF(Ubicaciones!$A$2:$A$501,A22)&gt;1,"DUPLICADO","OK"))</f>
        <v>OK</v>
      </c>
    </row>
    <row r="23" spans="1:3">
      <c r="A23" t="str">
        <f>Ubicaciones!A11</f>
        <v>38186</v>
      </c>
      <c r="B23" t="str">
        <f>IF(A23="","",IF(COUNTIF(Indicadores!$A$2:$A$501,A23)=0,"FALTA","OK"))</f>
        <v>OK</v>
      </c>
      <c r="C23" t="str">
        <f>IF(A23="","",IF(COUNTIF(Ubicaciones!$A$2:$A$501,A23)&gt;1,"DUPLICADO","OK"))</f>
        <v>OK</v>
      </c>
    </row>
    <row r="24" spans="1:3">
      <c r="A24" t="str">
        <f>Ubicaciones!A12</f>
        <v>38894</v>
      </c>
      <c r="B24" t="str">
        <f>IF(A24="","",IF(COUNTIF(Indicadores!$A$2:$A$501,A24)=0,"FALTA","OK"))</f>
        <v>OK</v>
      </c>
      <c r="C24" t="str">
        <f>IF(A24="","",IF(COUNTIF(Ubicaciones!$A$2:$A$501,A24)&gt;1,"DUPLICADO","OK"))</f>
        <v>OK</v>
      </c>
    </row>
    <row r="25" spans="1:3">
      <c r="A25" t="str">
        <f>Ubicaciones!A13</f>
        <v>38230</v>
      </c>
      <c r="B25" t="str">
        <f>IF(A25="","",IF(COUNTIF(Indicadores!$A$2:$A$501,A25)=0,"FALTA","OK"))</f>
        <v>OK</v>
      </c>
      <c r="C25" t="str">
        <f>IF(A25="","",IF(COUNTIF(Ubicaciones!$A$2:$A$501,A25)&gt;1,"DUPLICADO","OK"))</f>
        <v>OK</v>
      </c>
    </row>
    <row r="26" spans="1:3">
      <c r="A26" t="str">
        <f>Ubicaciones!A14</f>
        <v>38661</v>
      </c>
      <c r="B26" t="str">
        <f>IF(A26="","",IF(COUNTIF(Indicadores!$A$2:$A$501,A26)=0,"FALTA","OK"))</f>
        <v>OK</v>
      </c>
      <c r="C26" t="str">
        <f>IF(A26="","",IF(COUNTIF(Ubicaciones!$A$2:$A$501,A26)&gt;1,"DUPLICADO","OK"))</f>
        <v>OK</v>
      </c>
    </row>
    <row r="27" spans="1:3">
      <c r="A27" t="str">
        <f>Ubicaciones!A15</f>
        <v>38674</v>
      </c>
      <c r="B27" t="str">
        <f>IF(A27="","",IF(COUNTIF(Indicadores!$A$2:$A$501,A27)=0,"FALTA","OK"))</f>
        <v>OK</v>
      </c>
      <c r="C27" t="str">
        <f>IF(A27="","",IF(COUNTIF(Ubicaciones!$A$2:$A$501,A27)&gt;1,"DUPLICADO","OK"))</f>
        <v>OK</v>
      </c>
    </row>
    <row r="28" spans="1:3">
      <c r="A28" t="str">
        <f>Ubicaciones!A16</f>
        <v>38845</v>
      </c>
      <c r="B28" t="str">
        <f>IF(A28="","",IF(COUNTIF(Indicadores!$A$2:$A$501,A28)=0,"FALTA","OK"))</f>
        <v>OK</v>
      </c>
      <c r="C28" t="str">
        <f>IF(A28="","",IF(COUNTIF(Ubicaciones!$A$2:$A$501,A28)&gt;1,"DUPLICADO","OK"))</f>
        <v>OK</v>
      </c>
    </row>
    <row r="29" spans="1:3">
      <c r="A29" t="str">
        <f>Ubicaciones!A17</f>
        <v>38792</v>
      </c>
      <c r="B29" t="str">
        <f>IF(A29="","",IF(COUNTIF(Indicadores!$A$2:$A$501,A29)=0,"FALTA","OK"))</f>
        <v>OK</v>
      </c>
      <c r="C29" t="str">
        <f>IF(A29="","",IF(COUNTIF(Ubicaciones!$A$2:$A$501,A29)&gt;1,"DUPLICADO","OK"))</f>
        <v>OK</v>
      </c>
    </row>
    <row r="30" spans="1:3">
      <c r="A30" t="str">
        <f>Ubicaciones!A18</f>
        <v>38136</v>
      </c>
      <c r="B30" t="str">
        <f>IF(A30="","",IF(COUNTIF(Indicadores!$A$2:$A$501,A30)=0,"FALTA","OK"))</f>
        <v>OK</v>
      </c>
      <c r="C30" t="str">
        <f>IF(A30="","",IF(COUNTIF(Ubicaciones!$A$2:$A$501,A30)&gt;1,"DUPLICADO","OK"))</f>
        <v>OK</v>
      </c>
    </row>
    <row r="31" spans="1:3">
      <c r="A31" t="str">
        <f>Ubicaciones!A19</f>
        <v>38460</v>
      </c>
      <c r="B31" t="str">
        <f>IF(A31="","",IF(COUNTIF(Indicadores!$A$2:$A$501,A31)=0,"FALTA","OK"))</f>
        <v>OK</v>
      </c>
      <c r="C31" t="str">
        <f>IF(A31="","",IF(COUNTIF(Ubicaciones!$A$2:$A$501,A31)&gt;1,"DUPLICADO","OK"))</f>
        <v>OK</v>
      </c>
    </row>
    <row r="32" spans="1:3">
      <c r="A32" t="str">
        <f>Ubicaciones!A20</f>
        <v>38442</v>
      </c>
      <c r="B32" t="str">
        <f>IF(A32="","",IF(COUNTIF(Indicadores!$A$2:$A$501,A32)=0,"FALTA","OK"))</f>
        <v>OK</v>
      </c>
      <c r="C32" t="str">
        <f>IF(A32="","",IF(COUNTIF(Ubicaciones!$A$2:$A$501,A32)&gt;1,"DUPLICADO","OK"))</f>
        <v>OK</v>
      </c>
    </row>
    <row r="33" spans="1:3">
      <c r="A33" t="str">
        <f>Ubicaciones!A21</f>
        <v>38606</v>
      </c>
      <c r="B33" t="str">
        <f>IF(A33="","",IF(COUNTIF(Indicadores!$A$2:$A$501,A33)=0,"FALTA","OK"))</f>
        <v>OK</v>
      </c>
      <c r="C33" t="str">
        <f>IF(A33="","",IF(COUNTIF(Ubicaciones!$A$2:$A$501,A33)&gt;1,"DUPLICADO","OK"))</f>
        <v>OK</v>
      </c>
    </row>
    <row r="34" spans="1:3">
      <c r="A34" t="str">
        <f>Ubicaciones!A22</f>
        <v>38374</v>
      </c>
      <c r="B34" t="str">
        <f>IF(A34="","",IF(COUNTIF(Indicadores!$A$2:$A$501,A34)=0,"FALTA","OK"))</f>
        <v>OK</v>
      </c>
      <c r="C34" t="str">
        <f>IF(A34="","",IF(COUNTIF(Ubicaciones!$A$2:$A$501,A34)&gt;1,"DUPLICADO","OK"))</f>
        <v>OK</v>
      </c>
    </row>
    <row r="35" spans="1:3">
      <c r="A35" t="str">
        <f>Ubicaciones!A23</f>
        <v>38694</v>
      </c>
      <c r="B35" t="str">
        <f>IF(A35="","",IF(COUNTIF(Indicadores!$A$2:$A$501,A35)=0,"FALTA","OK"))</f>
        <v>OK</v>
      </c>
      <c r="C35" t="str">
        <f>IF(A35="","",IF(COUNTIF(Ubicaciones!$A$2:$A$501,A35)&gt;1,"DUPLICADO","OK"))</f>
        <v>OK</v>
      </c>
    </row>
    <row r="36" spans="1:3">
      <c r="A36" t="str">
        <f>Ubicaciones!A24</f>
        <v>43194</v>
      </c>
      <c r="B36" t="str">
        <f>IF(A36="","",IF(COUNTIF(Indicadores!$A$2:$A$501,A36)=0,"FALTA","OK"))</f>
        <v>OK</v>
      </c>
      <c r="C36" t="str">
        <f>IF(A36="","",IF(COUNTIF(Ubicaciones!$A$2:$A$501,A36)&gt;1,"DUPLICADO","OK"))</f>
        <v>OK</v>
      </c>
    </row>
    <row r="37" spans="1:3">
      <c r="A37" t="str">
        <f>Ubicaciones!A25</f>
        <v>38527</v>
      </c>
      <c r="B37" t="str">
        <f>IF(A37="","",IF(COUNTIF(Indicadores!$A$2:$A$501,A37)=0,"FALTA","OK"))</f>
        <v>OK</v>
      </c>
      <c r="C37" t="str">
        <f>IF(A37="","",IF(COUNTIF(Ubicaciones!$A$2:$A$501,A37)&gt;1,"DUPLICADO","OK"))</f>
        <v>OK</v>
      </c>
    </row>
    <row r="38" spans="1:3">
      <c r="A38" t="str">
        <f>Ubicaciones!A26</f>
        <v>38837</v>
      </c>
      <c r="B38" t="str">
        <f>IF(A38="","",IF(COUNTIF(Indicadores!$A$2:$A$501,A38)=0,"FALTA","OK"))</f>
        <v>OK</v>
      </c>
      <c r="C38" t="str">
        <f>IF(A38="","",IF(COUNTIF(Ubicaciones!$A$2:$A$501,A38)&gt;1,"DUPLICADO","OK"))</f>
        <v>OK</v>
      </c>
    </row>
    <row r="39" spans="1:3">
      <c r="A39" t="str">
        <f>Ubicaciones!A27</f>
        <v>38205</v>
      </c>
      <c r="B39" t="str">
        <f>IF(A39="","",IF(COUNTIF(Indicadores!$A$2:$A$501,A39)=0,"FALTA","OK"))</f>
        <v>OK</v>
      </c>
      <c r="C39" t="str">
        <f>IF(A39="","",IF(COUNTIF(Ubicaciones!$A$2:$A$501,A39)&gt;1,"DUPLICADO","OK"))</f>
        <v>OK</v>
      </c>
    </row>
    <row r="40" spans="1:3">
      <c r="A40" t="str">
        <f>Ubicaciones!A28</f>
        <v>38207</v>
      </c>
      <c r="B40" t="str">
        <f>IF(A40="","",IF(COUNTIF(Indicadores!$A$2:$A$501,A40)=0,"FALTA","OK"))</f>
        <v>OK</v>
      </c>
      <c r="C40" t="str">
        <f>IF(A40="","",IF(COUNTIF(Ubicaciones!$A$2:$A$501,A40)&gt;1,"DUPLICADO","OK"))</f>
        <v>OK</v>
      </c>
    </row>
    <row r="41" spans="1:3">
      <c r="A41" t="str">
        <f>Ubicaciones!A29</f>
        <v>38371</v>
      </c>
      <c r="B41" t="str">
        <f>IF(A41="","",IF(COUNTIF(Indicadores!$A$2:$A$501,A41)=0,"FALTA","OK"))</f>
        <v>OK</v>
      </c>
      <c r="C41" t="str">
        <f>IF(A41="","",IF(COUNTIF(Ubicaciones!$A$2:$A$501,A41)&gt;1,"DUPLICADO","OK"))</f>
        <v>OK</v>
      </c>
    </row>
    <row r="42" spans="1:3">
      <c r="A42" t="str">
        <f>Ubicaciones!A30</f>
        <v>43111</v>
      </c>
      <c r="B42" t="str">
        <f>IF(A42="","",IF(COUNTIF(Indicadores!$A$2:$A$501,A42)=0,"FALTA","OK"))</f>
        <v>OK</v>
      </c>
      <c r="C42" t="str">
        <f>IF(A42="","",IF(COUNTIF(Ubicaciones!$A$2:$A$501,A42)&gt;1,"DUPLICADO","OK"))</f>
        <v>OK</v>
      </c>
    </row>
    <row r="43" spans="1:3">
      <c r="A43" t="str">
        <f>Ubicaciones!A31</f>
        <v>43195</v>
      </c>
      <c r="B43" t="str">
        <f>IF(A43="","",IF(COUNTIF(Indicadores!$A$2:$A$501,A43)=0,"FALTA","OK"))</f>
        <v>OK</v>
      </c>
      <c r="C43" t="str">
        <f>IF(A43="","",IF(COUNTIF(Ubicaciones!$A$2:$A$501,A43)&gt;1,"DUPLICADO","OK"))</f>
        <v>OK</v>
      </c>
    </row>
    <row r="44" spans="1:3">
      <c r="A44" t="str">
        <f>Ubicaciones!A32</f>
        <v>38546</v>
      </c>
      <c r="B44" t="str">
        <f>IF(A44="","",IF(COUNTIF(Indicadores!$A$2:$A$501,A44)=0,"FALTA","OK"))</f>
        <v>OK</v>
      </c>
      <c r="C44" t="str">
        <f>IF(A44="","",IF(COUNTIF(Ubicaciones!$A$2:$A$501,A44)&gt;1,"DUPLICADO","OK"))</f>
        <v>OK</v>
      </c>
    </row>
    <row r="45" spans="1:3">
      <c r="A45" t="str">
        <f>Ubicaciones!A33</f>
        <v>38677</v>
      </c>
      <c r="B45" t="str">
        <f>IF(A45="","",IF(COUNTIF(Indicadores!$A$2:$A$501,A45)=0,"FALTA","OK"))</f>
        <v>OK</v>
      </c>
      <c r="C45" t="str">
        <f>IF(A45="","",IF(COUNTIF(Ubicaciones!$A$2:$A$501,A45)&gt;1,"DUPLICADO","OK"))</f>
        <v>OK</v>
      </c>
    </row>
    <row r="46" spans="1:3">
      <c r="A46" t="str">
        <f>Ubicaciones!A34</f>
        <v>38719</v>
      </c>
      <c r="B46" t="str">
        <f>IF(A46="","",IF(COUNTIF(Indicadores!$A$2:$A$501,A46)=0,"FALTA","OK"))</f>
        <v>OK</v>
      </c>
      <c r="C46" t="str">
        <f>IF(A46="","",IF(COUNTIF(Ubicaciones!$A$2:$A$501,A46)&gt;1,"DUPLICADO","OK"))</f>
        <v>OK</v>
      </c>
    </row>
    <row r="47" spans="1:3">
      <c r="A47" t="str">
        <f>Ubicaciones!A35</f>
        <v>43132</v>
      </c>
      <c r="B47" t="str">
        <f>IF(A47="","",IF(COUNTIF(Indicadores!$A$2:$A$501,A47)=0,"FALTA","OK"))</f>
        <v>OK</v>
      </c>
      <c r="C47" t="str">
        <f>IF(A47="","",IF(COUNTIF(Ubicaciones!$A$2:$A$501,A47)&gt;1,"DUPLICADO","OK"))</f>
        <v>OK</v>
      </c>
    </row>
    <row r="48" spans="1:3">
      <c r="A48" t="str">
        <f>Ubicaciones!A36</f>
        <v>38411</v>
      </c>
      <c r="B48" t="str">
        <f>IF(A48="","",IF(COUNTIF(Indicadores!$A$2:$A$501,A48)=0,"FALTA","OK"))</f>
        <v>OK</v>
      </c>
      <c r="C48" t="str">
        <f>IF(A48="","",IF(COUNTIF(Ubicaciones!$A$2:$A$501,A48)&gt;1,"DUPLICADO","OK"))</f>
        <v>OK</v>
      </c>
    </row>
    <row r="49" spans="1:3">
      <c r="A49" t="str">
        <f>Ubicaciones!A37</f>
        <v>38651</v>
      </c>
      <c r="B49" t="str">
        <f>IF(A49="","",IF(COUNTIF(Indicadores!$A$2:$A$501,A49)=0,"FALTA","OK"))</f>
        <v>OK</v>
      </c>
      <c r="C49" t="str">
        <f>IF(A49="","",IF(COUNTIF(Ubicaciones!$A$2:$A$501,A49)&gt;1,"DUPLICADO","OK"))</f>
        <v>OK</v>
      </c>
    </row>
    <row r="50" spans="1:3">
      <c r="A50" t="str">
        <f>Ubicaciones!A38</f>
        <v>38930</v>
      </c>
      <c r="B50" t="str">
        <f>IF(A50="","",IF(COUNTIF(Indicadores!$A$2:$A$501,A50)=0,"FALTA","OK"))</f>
        <v>OK</v>
      </c>
      <c r="C50" t="str">
        <f>IF(A50="","",IF(COUNTIF(Ubicaciones!$A$2:$A$501,A50)&gt;1,"DUPLICADO","OK"))</f>
        <v>OK</v>
      </c>
    </row>
    <row r="51" spans="1:3">
      <c r="A51" t="str">
        <f>Ubicaciones!A39</f>
        <v>38529</v>
      </c>
      <c r="B51" t="str">
        <f>IF(A51="","",IF(COUNTIF(Indicadores!$A$2:$A$501,A51)=0,"FALTA","OK"))</f>
        <v>OK</v>
      </c>
      <c r="C51" t="str">
        <f>IF(A51="","",IF(COUNTIF(Ubicaciones!$A$2:$A$501,A51)&gt;1,"DUPLICADO","OK"))</f>
        <v>OK</v>
      </c>
    </row>
    <row r="52" spans="1:3">
      <c r="A52" t="str">
        <f>Ubicaciones!A40</f>
        <v>38431</v>
      </c>
      <c r="B52" t="str">
        <f>IF(A52="","",IF(COUNTIF(Indicadores!$A$2:$A$501,A52)=0,"FALTA","OK"))</f>
        <v>OK</v>
      </c>
      <c r="C52" t="str">
        <f>IF(A52="","",IF(COUNTIF(Ubicaciones!$A$2:$A$501,A52)&gt;1,"DUPLICADO","OK"))</f>
        <v>OK</v>
      </c>
    </row>
    <row r="53" spans="1:3">
      <c r="A53" t="str">
        <f>Ubicaciones!A41</f>
        <v>38903</v>
      </c>
      <c r="B53" t="str">
        <f>IF(A53="","",IF(COUNTIF(Indicadores!$A$2:$A$501,A53)=0,"FALTA","OK"))</f>
        <v>OK</v>
      </c>
      <c r="C53" t="str">
        <f>IF(A53="","",IF(COUNTIF(Ubicaciones!$A$2:$A$501,A53)&gt;1,"DUPLICADO","OK"))</f>
        <v>OK</v>
      </c>
    </row>
    <row r="54" spans="1:3">
      <c r="A54" t="str">
        <f>Ubicaciones!A42</f>
        <v>38995</v>
      </c>
      <c r="B54" t="str">
        <f>IF(A54="","",IF(COUNTIF(Indicadores!$A$2:$A$501,A54)=0,"FALTA","OK"))</f>
        <v>OK</v>
      </c>
      <c r="C54" t="str">
        <f>IF(A54="","",IF(COUNTIF(Ubicaciones!$A$2:$A$501,A54)&gt;1,"DUPLICADO","OK"))</f>
        <v>OK</v>
      </c>
    </row>
    <row r="55" spans="1:3">
      <c r="A55" t="str">
        <f>Ubicaciones!A43</f>
        <v>38937</v>
      </c>
      <c r="B55" t="str">
        <f>IF(A55="","",IF(COUNTIF(Indicadores!$A$2:$A$501,A55)=0,"FALTA","OK"))</f>
        <v>OK</v>
      </c>
      <c r="C55" t="str">
        <f>IF(A55="","",IF(COUNTIF(Ubicaciones!$A$2:$A$501,A55)&gt;1,"DUPLICADO","OK"))</f>
        <v>OK</v>
      </c>
    </row>
    <row r="56" spans="1:3">
      <c r="A56" t="str">
        <f>Ubicaciones!A44</f>
        <v>38965</v>
      </c>
      <c r="B56" t="str">
        <f>IF(A56="","",IF(COUNTIF(Indicadores!$A$2:$A$501,A56)=0,"FALTA","OK"))</f>
        <v>OK</v>
      </c>
      <c r="C56" t="str">
        <f>IF(A56="","",IF(COUNTIF(Ubicaciones!$A$2:$A$501,A56)&gt;1,"DUPLICADO","OK"))</f>
        <v>OK</v>
      </c>
    </row>
    <row r="57" spans="1:3">
      <c r="A57" t="str">
        <f>Ubicaciones!A45</f>
        <v>38924</v>
      </c>
      <c r="B57" t="str">
        <f>IF(A57="","",IF(COUNTIF(Indicadores!$A$2:$A$501,A57)=0,"FALTA","OK"))</f>
        <v>OK</v>
      </c>
      <c r="C57" t="str">
        <f>IF(A57="","",IF(COUNTIF(Ubicaciones!$A$2:$A$501,A57)&gt;1,"DUPLICADO","OK"))</f>
        <v>OK</v>
      </c>
    </row>
    <row r="58" spans="1:3">
      <c r="A58" t="str">
        <f>Ubicaciones!A46</f>
        <v>38811</v>
      </c>
      <c r="B58" t="str">
        <f>IF(A58="","",IF(COUNTIF(Indicadores!$A$2:$A$501,A58)=0,"FALTA","OK"))</f>
        <v>OK</v>
      </c>
      <c r="C58" t="str">
        <f>IF(A58="","",IF(COUNTIF(Ubicaciones!$A$2:$A$501,A58)&gt;1,"DUPLICADO","OK"))</f>
        <v>OK</v>
      </c>
    </row>
    <row r="59" spans="1:3">
      <c r="A59" t="str">
        <f>Ubicaciones!A47</f>
        <v>38992</v>
      </c>
      <c r="B59" t="str">
        <f>IF(A59="","",IF(COUNTIF(Indicadores!$A$2:$A$501,A59)=0,"FALTA","OK"))</f>
        <v>OK</v>
      </c>
      <c r="C59" t="str">
        <f>IF(A59="","",IF(COUNTIF(Ubicaciones!$A$2:$A$501,A59)&gt;1,"DUPLICADO","OK"))</f>
        <v>OK</v>
      </c>
    </row>
    <row r="60" spans="1:3">
      <c r="A60" t="str">
        <f>Ubicaciones!A48</f>
        <v>38695</v>
      </c>
      <c r="B60" t="str">
        <f>IF(A60="","",IF(COUNTIF(Indicadores!$A$2:$A$501,A60)=0,"FALTA","OK"))</f>
        <v>OK</v>
      </c>
      <c r="C60" t="str">
        <f>IF(A60="","",IF(COUNTIF(Ubicaciones!$A$2:$A$501,A60)&gt;1,"DUPLICADO","OK"))</f>
        <v>OK</v>
      </c>
    </row>
    <row r="61" spans="1:3">
      <c r="A61" t="str">
        <f>Ubicaciones!A49</f>
        <v>38197</v>
      </c>
      <c r="B61" t="str">
        <f>IF(A61="","",IF(COUNTIF(Indicadores!$A$2:$A$501,A61)=0,"FALTA","OK"))</f>
        <v>OK</v>
      </c>
      <c r="C61" t="str">
        <f>IF(A61="","",IF(COUNTIF(Ubicaciones!$A$2:$A$501,A61)&gt;1,"DUPLICADO","OK"))</f>
        <v>OK</v>
      </c>
    </row>
    <row r="62" spans="1:3">
      <c r="A62" t="str">
        <f>Ubicaciones!A50</f>
        <v>38458</v>
      </c>
      <c r="B62" t="str">
        <f>IF(A62="","",IF(COUNTIF(Indicadores!$A$2:$A$501,A62)=0,"FALTA","OK"))</f>
        <v>OK</v>
      </c>
      <c r="C62" t="str">
        <f>IF(A62="","",IF(COUNTIF(Ubicaciones!$A$2:$A$501,A62)&gt;1,"DUPLICADO","OK"))</f>
        <v>OK</v>
      </c>
    </row>
    <row r="63" spans="1:3">
      <c r="A63" t="str">
        <f>Ubicaciones!A51</f>
        <v>38770</v>
      </c>
      <c r="B63" t="str">
        <f>IF(A63="","",IF(COUNTIF(Indicadores!$A$2:$A$501,A63)=0,"FALTA","OK"))</f>
        <v>OK</v>
      </c>
      <c r="C63" t="str">
        <f>IF(A63="","",IF(COUNTIF(Ubicaciones!$A$2:$A$501,A63)&gt;1,"DUPLICADO","OK"))</f>
        <v>OK</v>
      </c>
    </row>
    <row r="64" spans="1:3">
      <c r="A64" t="str">
        <f>Ubicaciones!A52</f>
        <v>38561</v>
      </c>
      <c r="B64" t="str">
        <f>IF(A64="","",IF(COUNTIF(Indicadores!$A$2:$A$501,A64)=0,"FALTA","OK"))</f>
        <v>OK</v>
      </c>
      <c r="C64" t="str">
        <f>IF(A64="","",IF(COUNTIF(Ubicaciones!$A$2:$A$501,A64)&gt;1,"DUPLICADO","OK"))</f>
        <v>OK</v>
      </c>
    </row>
    <row r="65" spans="1:3">
      <c r="A65" t="str">
        <f>Ubicaciones!A53</f>
        <v>38590</v>
      </c>
      <c r="B65" t="str">
        <f>IF(A65="","",IF(COUNTIF(Indicadores!$A$2:$A$501,A65)=0,"FALTA","OK"))</f>
        <v>OK</v>
      </c>
      <c r="C65" t="str">
        <f>IF(A65="","",IF(COUNTIF(Ubicaciones!$A$2:$A$501,A65)&gt;1,"DUPLICADO","OK"))</f>
        <v>OK</v>
      </c>
    </row>
    <row r="66" spans="1:3">
      <c r="A66" t="str">
        <f>Ubicaciones!A54</f>
        <v>38176</v>
      </c>
      <c r="B66" t="str">
        <f>IF(A66="","",IF(COUNTIF(Indicadores!$A$2:$A$501,A66)=0,"FALTA","OK"))</f>
        <v>OK</v>
      </c>
      <c r="C66" t="str">
        <f>IF(A66="","",IF(COUNTIF(Ubicaciones!$A$2:$A$501,A66)&gt;1,"DUPLICADO","OK"))</f>
        <v>OK</v>
      </c>
    </row>
    <row r="67" spans="1:3">
      <c r="A67" t="str">
        <f>Ubicaciones!A55</f>
        <v>38427</v>
      </c>
      <c r="B67" t="str">
        <f>IF(A67="","",IF(COUNTIF(Indicadores!$A$2:$A$501,A67)=0,"FALTA","OK"))</f>
        <v>OK</v>
      </c>
      <c r="C67" t="str">
        <f>IF(A67="","",IF(COUNTIF(Ubicaciones!$A$2:$A$501,A67)&gt;1,"DUPLICADO","OK"))</f>
        <v>OK</v>
      </c>
    </row>
    <row r="68" spans="1:3">
      <c r="A68" t="str">
        <f>Ubicaciones!A56</f>
        <v>38859</v>
      </c>
      <c r="B68" t="str">
        <f>IF(A68="","",IF(COUNTIF(Indicadores!$A$2:$A$501,A68)=0,"FALTA","OK"))</f>
        <v>OK</v>
      </c>
      <c r="C68" t="str">
        <f>IF(A68="","",IF(COUNTIF(Ubicaciones!$A$2:$A$501,A68)&gt;1,"DUPLICADO","OK"))</f>
        <v>OK</v>
      </c>
    </row>
    <row r="69" spans="1:3">
      <c r="A69" t="str">
        <f>Ubicaciones!A57</f>
        <v>43152</v>
      </c>
      <c r="B69" t="str">
        <f>IF(A69="","",IF(COUNTIF(Indicadores!$A$2:$A$501,A69)=0,"FALTA","OK"))</f>
        <v>OK</v>
      </c>
      <c r="C69" t="str">
        <f>IF(A69="","",IF(COUNTIF(Ubicaciones!$A$2:$A$501,A69)&gt;1,"DUPLICADO","OK"))</f>
        <v>OK</v>
      </c>
    </row>
    <row r="70" spans="1:3">
      <c r="A70" t="str">
        <f>Ubicaciones!A58</f>
        <v>38117</v>
      </c>
      <c r="B70" t="str">
        <f>IF(A70="","",IF(COUNTIF(Indicadores!$A$2:$A$501,A70)=0,"FALTA","OK"))</f>
        <v>OK</v>
      </c>
      <c r="C70" t="str">
        <f>IF(A70="","",IF(COUNTIF(Ubicaciones!$A$2:$A$501,A70)&gt;1,"DUPLICADO","OK"))</f>
        <v>OK</v>
      </c>
    </row>
    <row r="71" spans="1:3">
      <c r="A71" t="str">
        <f>Ubicaciones!A59</f>
        <v>38475</v>
      </c>
      <c r="B71" t="str">
        <f>IF(A71="","",IF(COUNTIF(Indicadores!$A$2:$A$501,A71)=0,"FALTA","OK"))</f>
        <v>OK</v>
      </c>
      <c r="C71" t="str">
        <f>IF(A71="","",IF(COUNTIF(Ubicaciones!$A$2:$A$501,A71)&gt;1,"DUPLICADO","OK"))</f>
        <v>OK</v>
      </c>
    </row>
    <row r="72" spans="1:3">
      <c r="A72" t="str">
        <f>Ubicaciones!A60</f>
        <v>38656</v>
      </c>
      <c r="B72" t="str">
        <f>IF(A72="","",IF(COUNTIF(Indicadores!$A$2:$A$501,A72)=0,"FALTA","OK"))</f>
        <v>OK</v>
      </c>
      <c r="C72" t="str">
        <f>IF(A72="","",IF(COUNTIF(Ubicaciones!$A$2:$A$501,A72)&gt;1,"DUPLICADO","OK"))</f>
        <v>OK</v>
      </c>
    </row>
    <row r="73" spans="1:3">
      <c r="A73" t="str">
        <f>Ubicaciones!A61</f>
        <v>43043</v>
      </c>
      <c r="B73" t="str">
        <f>IF(A73="","",IF(COUNTIF(Indicadores!$A$2:$A$501,A73)=0,"FALTA","OK"))</f>
        <v>OK</v>
      </c>
      <c r="C73" t="str">
        <f>IF(A73="","",IF(COUNTIF(Ubicaciones!$A$2:$A$501,A73)&gt;1,"DUPLICADO","OK"))</f>
        <v>OK</v>
      </c>
    </row>
    <row r="74" spans="1:3">
      <c r="A74" t="str">
        <f>Ubicaciones!A62</f>
        <v>38149</v>
      </c>
      <c r="B74" t="str">
        <f>IF(A74="","",IF(COUNTIF(Indicadores!$A$2:$A$501,A74)=0,"FALTA","OK"))</f>
        <v>OK</v>
      </c>
      <c r="C74" t="str">
        <f>IF(A74="","",IF(COUNTIF(Ubicaciones!$A$2:$A$501,A74)&gt;1,"DUPLICADO","OK"))</f>
        <v>OK</v>
      </c>
    </row>
    <row r="75" spans="1:3">
      <c r="A75" t="str">
        <f>Ubicaciones!A63</f>
        <v>38394</v>
      </c>
      <c r="B75" t="str">
        <f>IF(A75="","",IF(COUNTIF(Indicadores!$A$2:$A$501,A75)=0,"FALTA","OK"))</f>
        <v>OK</v>
      </c>
      <c r="C75" t="str">
        <f>IF(A75="","",IF(COUNTIF(Ubicaciones!$A$2:$A$501,A75)&gt;1,"DUPLICADO","OK"))</f>
        <v>OK</v>
      </c>
    </row>
    <row r="76" spans="1:3">
      <c r="A76" t="str">
        <f>Ubicaciones!A64</f>
        <v>38535</v>
      </c>
      <c r="B76" t="str">
        <f>IF(A76="","",IF(COUNTIF(Indicadores!$A$2:$A$501,A76)=0,"FALTA","OK"))</f>
        <v>OK</v>
      </c>
      <c r="C76" t="str">
        <f>IF(A76="","",IF(COUNTIF(Ubicaciones!$A$2:$A$501,A76)&gt;1,"DUPLICADO","OK"))</f>
        <v>OK</v>
      </c>
    </row>
    <row r="77" spans="1:3">
      <c r="A77" t="str">
        <f>Ubicaciones!A65</f>
        <v>38507</v>
      </c>
      <c r="B77" t="str">
        <f>IF(A77="","",IF(COUNTIF(Indicadores!$A$2:$A$501,A77)=0,"FALTA","OK"))</f>
        <v>OK</v>
      </c>
      <c r="C77" t="str">
        <f>IF(A77="","",IF(COUNTIF(Ubicaciones!$A$2:$A$501,A77)&gt;1,"DUPLICADO","OK"))</f>
        <v>OK</v>
      </c>
    </row>
    <row r="78" spans="1:3">
      <c r="A78" t="str">
        <f>Ubicaciones!A66</f>
        <v>38363</v>
      </c>
      <c r="B78" t="str">
        <f>IF(A78="","",IF(COUNTIF(Indicadores!$A$2:$A$501,A78)=0,"FALTA","OK"))</f>
        <v>OK</v>
      </c>
      <c r="C78" t="str">
        <f>IF(A78="","",IF(COUNTIF(Ubicaciones!$A$2:$A$501,A78)&gt;1,"DUPLICADO","OK"))</f>
        <v>OK</v>
      </c>
    </row>
    <row r="79" spans="1:3">
      <c r="A79" t="str">
        <f>Ubicaciones!A67</f>
        <v>38119</v>
      </c>
      <c r="B79" t="str">
        <f>IF(A79="","",IF(COUNTIF(Indicadores!$A$2:$A$501,A79)=0,"FALTA","OK"))</f>
        <v>OK</v>
      </c>
      <c r="C79" t="str">
        <f>IF(A79="","",IF(COUNTIF(Ubicaciones!$A$2:$A$501,A79)&gt;1,"DUPLICADO","OK"))</f>
        <v>OK</v>
      </c>
    </row>
    <row r="80" spans="1:3">
      <c r="A80" t="str">
        <f>Ubicaciones!A68</f>
        <v>38270</v>
      </c>
      <c r="B80" t="str">
        <f>IF(A80="","",IF(COUNTIF(Indicadores!$A$2:$A$501,A80)=0,"FALTA","OK"))</f>
        <v>OK</v>
      </c>
      <c r="C80" t="str">
        <f>IF(A80="","",IF(COUNTIF(Ubicaciones!$A$2:$A$501,A80)&gt;1,"DUPLICADO","OK"))</f>
        <v>OK</v>
      </c>
    </row>
    <row r="81" spans="1:3">
      <c r="A81" t="str">
        <f>Ubicaciones!A69</f>
        <v>38266</v>
      </c>
      <c r="B81" t="str">
        <f>IF(A81="","",IF(COUNTIF(Indicadores!$A$2:$A$501,A81)=0,"FALTA","OK"))</f>
        <v>OK</v>
      </c>
      <c r="C81" t="str">
        <f>IF(A81="","",IF(COUNTIF(Ubicaciones!$A$2:$A$501,A81)&gt;1,"DUPLICADO","OK"))</f>
        <v>OK</v>
      </c>
    </row>
    <row r="82" spans="1:3">
      <c r="A82" t="str">
        <f>Ubicaciones!A70</f>
        <v>38925</v>
      </c>
      <c r="B82" t="str">
        <f>IF(A82="","",IF(COUNTIF(Indicadores!$A$2:$A$501,A82)=0,"FALTA","OK"))</f>
        <v>OK</v>
      </c>
      <c r="C82" t="str">
        <f>IF(A82="","",IF(COUNTIF(Ubicaciones!$A$2:$A$501,A82)&gt;1,"DUPLICADO","OK"))</f>
        <v>OK</v>
      </c>
    </row>
    <row r="83" spans="1:3">
      <c r="A83" t="str">
        <f>Ubicaciones!A71</f>
        <v>43130</v>
      </c>
      <c r="B83" t="str">
        <f>IF(A83="","",IF(COUNTIF(Indicadores!$A$2:$A$501,A83)=0,"FALTA","OK"))</f>
        <v>OK</v>
      </c>
      <c r="C83" t="str">
        <f>IF(A83="","",IF(COUNTIF(Ubicaciones!$A$2:$A$501,A83)&gt;1,"DUPLICADO","OK"))</f>
        <v>OK</v>
      </c>
    </row>
    <row r="84" spans="1:3">
      <c r="A84" t="str">
        <f>Ubicaciones!A72</f>
        <v>38115</v>
      </c>
      <c r="B84" t="str">
        <f>IF(A84="","",IF(COUNTIF(Indicadores!$A$2:$A$501,A84)=0,"FALTA","OK"))</f>
        <v>OK</v>
      </c>
      <c r="C84" t="str">
        <f>IF(A84="","",IF(COUNTIF(Ubicaciones!$A$2:$A$501,A84)&gt;1,"DUPLICADO","OK"))</f>
        <v>OK</v>
      </c>
    </row>
    <row r="85" spans="1:3">
      <c r="A85" t="str">
        <f>Ubicaciones!A73</f>
        <v>38142</v>
      </c>
      <c r="B85" t="str">
        <f>IF(A85="","",IF(COUNTIF(Indicadores!$A$2:$A$501,A85)=0,"FALTA","OK"))</f>
        <v>OK</v>
      </c>
      <c r="C85" t="str">
        <f>IF(A85="","",IF(COUNTIF(Ubicaciones!$A$2:$A$501,A85)&gt;1,"DUPLICADO","OK"))</f>
        <v>OK</v>
      </c>
    </row>
    <row r="86" spans="1:3">
      <c r="A86">
        <f>Ubicaciones!A74</f>
        <v>0</v>
      </c>
      <c r="B86" t="str">
        <f>IF(A86="","",IF(COUNTIF(Indicadores!$A$2:$A$501,A86)=0,"FALTA","OK"))</f>
        <v>FALTA</v>
      </c>
      <c r="C86" t="str">
        <f>IF(A86="","",IF(COUNTIF(Ubicaciones!$A$2:$A$501,A86)&gt;1,"DUPLICADO","OK"))</f>
        <v>OK</v>
      </c>
    </row>
    <row r="87" spans="1:3">
      <c r="A87">
        <f>Ubicaciones!A75</f>
        <v>0</v>
      </c>
      <c r="B87" t="str">
        <f>IF(A87="","",IF(COUNTIF(Indicadores!$A$2:$A$501,A87)=0,"FALTA","OK"))</f>
        <v>FALTA</v>
      </c>
      <c r="C87" t="str">
        <f>IF(A87="","",IF(COUNTIF(Ubicaciones!$A$2:$A$501,A87)&gt;1,"DUPLICADO","OK"))</f>
        <v>OK</v>
      </c>
    </row>
    <row r="88" spans="1:3">
      <c r="A88">
        <f>Ubicaciones!A76</f>
        <v>0</v>
      </c>
      <c r="B88" t="str">
        <f>IF(A88="","",IF(COUNTIF(Indicadores!$A$2:$A$501,A88)=0,"FALTA","OK"))</f>
        <v>FALTA</v>
      </c>
      <c r="C88" t="str">
        <f>IF(A88="","",IF(COUNTIF(Ubicaciones!$A$2:$A$501,A88)&gt;1,"DUPLICADO","OK"))</f>
        <v>OK</v>
      </c>
    </row>
    <row r="89" spans="1:3">
      <c r="A89">
        <f>Ubicaciones!A77</f>
        <v>0</v>
      </c>
      <c r="B89" t="str">
        <f>IF(A89="","",IF(COUNTIF(Indicadores!$A$2:$A$501,A89)=0,"FALTA","OK"))</f>
        <v>FALTA</v>
      </c>
      <c r="C89" t="str">
        <f>IF(A89="","",IF(COUNTIF(Ubicaciones!$A$2:$A$501,A89)&gt;1,"DUPLICADO","OK"))</f>
        <v>OK</v>
      </c>
    </row>
    <row r="90" spans="1:3">
      <c r="A90">
        <f>Ubicaciones!A78</f>
        <v>0</v>
      </c>
      <c r="B90" t="str">
        <f>IF(A90="","",IF(COUNTIF(Indicadores!$A$2:$A$501,A90)=0,"FALTA","OK"))</f>
        <v>FALTA</v>
      </c>
      <c r="C90" t="str">
        <f>IF(A90="","",IF(COUNTIF(Ubicaciones!$A$2:$A$501,A90)&gt;1,"DUPLICADO","OK"))</f>
        <v>OK</v>
      </c>
    </row>
    <row r="91" spans="1:3">
      <c r="A91">
        <f>Ubicaciones!A79</f>
        <v>0</v>
      </c>
      <c r="B91" t="str">
        <f>IF(A91="","",IF(COUNTIF(Indicadores!$A$2:$A$501,A91)=0,"FALTA","OK"))</f>
        <v>FALTA</v>
      </c>
      <c r="C91" t="str">
        <f>IF(A91="","",IF(COUNTIF(Ubicaciones!$A$2:$A$501,A91)&gt;1,"DUPLICADO","OK"))</f>
        <v>OK</v>
      </c>
    </row>
    <row r="92" spans="1:3">
      <c r="A92">
        <f>Ubicaciones!A80</f>
        <v>0</v>
      </c>
      <c r="B92" t="str">
        <f>IF(A92="","",IF(COUNTIF(Indicadores!$A$2:$A$501,A92)=0,"FALTA","OK"))</f>
        <v>FALTA</v>
      </c>
      <c r="C92" t="str">
        <f>IF(A92="","",IF(COUNTIF(Ubicaciones!$A$2:$A$501,A92)&gt;1,"DUPLICADO","OK"))</f>
        <v>OK</v>
      </c>
    </row>
    <row r="93" spans="1:3">
      <c r="A93">
        <f>Ubicaciones!A81</f>
        <v>0</v>
      </c>
      <c r="B93" t="str">
        <f>IF(A93="","",IF(COUNTIF(Indicadores!$A$2:$A$501,A93)=0,"FALTA","OK"))</f>
        <v>FALTA</v>
      </c>
      <c r="C93" t="str">
        <f>IF(A93="","",IF(COUNTIF(Ubicaciones!$A$2:$A$501,A93)&gt;1,"DUPLICADO","OK"))</f>
        <v>OK</v>
      </c>
    </row>
    <row r="94" spans="1:3">
      <c r="A94">
        <f>Ubicaciones!A82</f>
        <v>0</v>
      </c>
      <c r="B94" t="str">
        <f>IF(A94="","",IF(COUNTIF(Indicadores!$A$2:$A$501,A94)=0,"FALTA","OK"))</f>
        <v>FALTA</v>
      </c>
      <c r="C94" t="str">
        <f>IF(A94="","",IF(COUNTIF(Ubicaciones!$A$2:$A$501,A94)&gt;1,"DUPLICADO","OK"))</f>
        <v>OK</v>
      </c>
    </row>
    <row r="95" spans="1:3">
      <c r="A95">
        <f>Ubicaciones!A83</f>
        <v>0</v>
      </c>
      <c r="B95" t="str">
        <f>IF(A95="","",IF(COUNTIF(Indicadores!$A$2:$A$501,A95)=0,"FALTA","OK"))</f>
        <v>FALTA</v>
      </c>
      <c r="C95" t="str">
        <f>IF(A95="","",IF(COUNTIF(Ubicaciones!$A$2:$A$501,A95)&gt;1,"DUPLICADO","OK"))</f>
        <v>OK</v>
      </c>
    </row>
    <row r="96" spans="1:3">
      <c r="A96">
        <f>Ubicaciones!A84</f>
        <v>0</v>
      </c>
      <c r="B96" t="str">
        <f>IF(A96="","",IF(COUNTIF(Indicadores!$A$2:$A$501,A96)=0,"FALTA","OK"))</f>
        <v>FALTA</v>
      </c>
      <c r="C96" t="str">
        <f>IF(A96="","",IF(COUNTIF(Ubicaciones!$A$2:$A$501,A96)&gt;1,"DUPLICADO","OK"))</f>
        <v>OK</v>
      </c>
    </row>
    <row r="97" spans="1:3">
      <c r="A97">
        <f>Ubicaciones!A85</f>
        <v>0</v>
      </c>
      <c r="B97" t="str">
        <f>IF(A97="","",IF(COUNTIF(Indicadores!$A$2:$A$501,A97)=0,"FALTA","OK"))</f>
        <v>FALTA</v>
      </c>
      <c r="C97" t="str">
        <f>IF(A97="","",IF(COUNTIF(Ubicaciones!$A$2:$A$501,A97)&gt;1,"DUPLICADO","OK"))</f>
        <v>OK</v>
      </c>
    </row>
    <row r="98" spans="1:3">
      <c r="A98">
        <f>Ubicaciones!A86</f>
        <v>0</v>
      </c>
      <c r="B98" t="str">
        <f>IF(A98="","",IF(COUNTIF(Indicadores!$A$2:$A$501,A98)=0,"FALTA","OK"))</f>
        <v>FALTA</v>
      </c>
      <c r="C98" t="str">
        <f>IF(A98="","",IF(COUNTIF(Ubicaciones!$A$2:$A$501,A98)&gt;1,"DUPLICADO","OK"))</f>
        <v>OK</v>
      </c>
    </row>
    <row r="99" spans="1:3">
      <c r="A99">
        <f>Ubicaciones!A87</f>
        <v>0</v>
      </c>
      <c r="B99" t="str">
        <f>IF(A99="","",IF(COUNTIF(Indicadores!$A$2:$A$501,A99)=0,"FALTA","OK"))</f>
        <v>FALTA</v>
      </c>
      <c r="C99" t="str">
        <f>IF(A99="","",IF(COUNTIF(Ubicaciones!$A$2:$A$501,A99)&gt;1,"DUPLICADO","OK"))</f>
        <v>OK</v>
      </c>
    </row>
    <row r="100" spans="1:3">
      <c r="A100">
        <f>Ubicaciones!A88</f>
        <v>0</v>
      </c>
      <c r="B100" t="str">
        <f>IF(A100="","",IF(COUNTIF(Indicadores!$A$2:$A$501,A100)=0,"FALTA","OK"))</f>
        <v>FALTA</v>
      </c>
      <c r="C100" t="str">
        <f>IF(A100="","",IF(COUNTIF(Ubicaciones!$A$2:$A$501,A100)&gt;1,"DUPLICADO","OK"))</f>
        <v>OK</v>
      </c>
    </row>
    <row r="101" spans="1:3">
      <c r="A101">
        <f>Ubicaciones!A89</f>
        <v>0</v>
      </c>
      <c r="B101" t="str">
        <f>IF(A101="","",IF(COUNTIF(Indicadores!$A$2:$A$501,A101)=0,"FALTA","OK"))</f>
        <v>FALTA</v>
      </c>
      <c r="C101" t="str">
        <f>IF(A101="","",IF(COUNTIF(Ubicaciones!$A$2:$A$501,A101)&gt;1,"DUPLICADO","OK"))</f>
        <v>OK</v>
      </c>
    </row>
    <row r="102" spans="1:3">
      <c r="A102">
        <f>Ubicaciones!A90</f>
        <v>0</v>
      </c>
      <c r="B102" t="str">
        <f>IF(A102="","",IF(COUNTIF(Indicadores!$A$2:$A$501,A102)=0,"FALTA","OK"))</f>
        <v>FALTA</v>
      </c>
      <c r="C102" t="str">
        <f>IF(A102="","",IF(COUNTIF(Ubicaciones!$A$2:$A$501,A102)&gt;1,"DUPLICADO","OK"))</f>
        <v>OK</v>
      </c>
    </row>
    <row r="103" spans="1:3">
      <c r="A103">
        <f>Ubicaciones!A91</f>
        <v>0</v>
      </c>
      <c r="B103" t="str">
        <f>IF(A103="","",IF(COUNTIF(Indicadores!$A$2:$A$501,A103)=0,"FALTA","OK"))</f>
        <v>FALTA</v>
      </c>
      <c r="C103" t="str">
        <f>IF(A103="","",IF(COUNTIF(Ubicaciones!$A$2:$A$501,A103)&gt;1,"DUPLICADO","OK"))</f>
        <v>OK</v>
      </c>
    </row>
    <row r="104" spans="1:3">
      <c r="A104">
        <f>Ubicaciones!A92</f>
        <v>0</v>
      </c>
      <c r="B104" t="str">
        <f>IF(A104="","",IF(COUNTIF(Indicadores!$A$2:$A$501,A104)=0,"FALTA","OK"))</f>
        <v>FALTA</v>
      </c>
      <c r="C104" t="str">
        <f>IF(A104="","",IF(COUNTIF(Ubicaciones!$A$2:$A$501,A104)&gt;1,"DUPLICADO","OK"))</f>
        <v>OK</v>
      </c>
    </row>
    <row r="105" spans="1:3">
      <c r="A105">
        <f>Ubicaciones!A93</f>
        <v>0</v>
      </c>
      <c r="B105" t="str">
        <f>IF(A105="","",IF(COUNTIF(Indicadores!$A$2:$A$501,A105)=0,"FALTA","OK"))</f>
        <v>FALTA</v>
      </c>
      <c r="C105" t="str">
        <f>IF(A105="","",IF(COUNTIF(Ubicaciones!$A$2:$A$501,A105)&gt;1,"DUPLICADO","OK"))</f>
        <v>OK</v>
      </c>
    </row>
    <row r="106" spans="1:3">
      <c r="A106">
        <f>Ubicaciones!A94</f>
        <v>0</v>
      </c>
      <c r="B106" t="str">
        <f>IF(A106="","",IF(COUNTIF(Indicadores!$A$2:$A$501,A106)=0,"FALTA","OK"))</f>
        <v>FALTA</v>
      </c>
      <c r="C106" t="str">
        <f>IF(A106="","",IF(COUNTIF(Ubicaciones!$A$2:$A$501,A106)&gt;1,"DUPLICADO","OK"))</f>
        <v>OK</v>
      </c>
    </row>
    <row r="107" spans="1:3">
      <c r="A107">
        <f>Ubicaciones!A95</f>
        <v>0</v>
      </c>
      <c r="B107" t="str">
        <f>IF(A107="","",IF(COUNTIF(Indicadores!$A$2:$A$501,A107)=0,"FALTA","OK"))</f>
        <v>FALTA</v>
      </c>
      <c r="C107" t="str">
        <f>IF(A107="","",IF(COUNTIF(Ubicaciones!$A$2:$A$501,A107)&gt;1,"DUPLICADO","OK"))</f>
        <v>OK</v>
      </c>
    </row>
    <row r="108" spans="1:3">
      <c r="A108">
        <f>Ubicaciones!A96</f>
        <v>0</v>
      </c>
      <c r="B108" t="str">
        <f>IF(A108="","",IF(COUNTIF(Indicadores!$A$2:$A$501,A108)=0,"FALTA","OK"))</f>
        <v>FALTA</v>
      </c>
      <c r="C108" t="str">
        <f>IF(A108="","",IF(COUNTIF(Ubicaciones!$A$2:$A$501,A108)&gt;1,"DUPLICADO","OK"))</f>
        <v>OK</v>
      </c>
    </row>
    <row r="109" spans="1:3">
      <c r="A109">
        <f>Ubicaciones!A97</f>
        <v>0</v>
      </c>
      <c r="B109" t="str">
        <f>IF(A109="","",IF(COUNTIF(Indicadores!$A$2:$A$501,A109)=0,"FALTA","OK"))</f>
        <v>FALTA</v>
      </c>
      <c r="C109" t="str">
        <f>IF(A109="","",IF(COUNTIF(Ubicaciones!$A$2:$A$501,A109)&gt;1,"DUPLICADO","OK"))</f>
        <v>OK</v>
      </c>
    </row>
    <row r="110" spans="1:3">
      <c r="A110">
        <f>Ubicaciones!A98</f>
        <v>0</v>
      </c>
      <c r="B110" t="str">
        <f>IF(A110="","",IF(COUNTIF(Indicadores!$A$2:$A$501,A110)=0,"FALTA","OK"))</f>
        <v>FALTA</v>
      </c>
      <c r="C110" t="str">
        <f>IF(A110="","",IF(COUNTIF(Ubicaciones!$A$2:$A$501,A110)&gt;1,"DUPLICADO","OK"))</f>
        <v>OK</v>
      </c>
    </row>
    <row r="111" spans="1:3">
      <c r="A111">
        <f>Ubicaciones!A99</f>
        <v>0</v>
      </c>
      <c r="B111" t="str">
        <f>IF(A111="","",IF(COUNTIF(Indicadores!$A$2:$A$501,A111)=0,"FALTA","OK"))</f>
        <v>FALTA</v>
      </c>
      <c r="C111" t="str">
        <f>IF(A111="","",IF(COUNTIF(Ubicaciones!$A$2:$A$501,A111)&gt;1,"DUPLICADO","OK"))</f>
        <v>OK</v>
      </c>
    </row>
    <row r="112" spans="1:3">
      <c r="A112">
        <f>Ubicaciones!A100</f>
        <v>0</v>
      </c>
      <c r="B112" t="str">
        <f>IF(A112="","",IF(COUNTIF(Indicadores!$A$2:$A$501,A112)=0,"FALTA","OK"))</f>
        <v>FALTA</v>
      </c>
      <c r="C112" t="str">
        <f>IF(A112="","",IF(COUNTIF(Ubicaciones!$A$2:$A$501,A112)&gt;1,"DUPLICADO","OK"))</f>
        <v>OK</v>
      </c>
    </row>
    <row r="113" spans="1:3">
      <c r="A113">
        <f>Ubicaciones!A101</f>
        <v>0</v>
      </c>
      <c r="B113" t="str">
        <f>IF(A113="","",IF(COUNTIF(Indicadores!$A$2:$A$501,A113)=0,"FALTA","OK"))</f>
        <v>FALTA</v>
      </c>
      <c r="C113" t="str">
        <f>IF(A113="","",IF(COUNTIF(Ubicaciones!$A$2:$A$501,A113)&gt;1,"DUPLICADO","OK"))</f>
        <v>OK</v>
      </c>
    </row>
    <row r="114" spans="1:3">
      <c r="A114">
        <f>Ubicaciones!A102</f>
        <v>0</v>
      </c>
      <c r="B114" t="str">
        <f>IF(A114="","",IF(COUNTIF(Indicadores!$A$2:$A$501,A114)=0,"FALTA","OK"))</f>
        <v>FALTA</v>
      </c>
      <c r="C114" t="str">
        <f>IF(A114="","",IF(COUNTIF(Ubicaciones!$A$2:$A$501,A114)&gt;1,"DUPLICADO","OK"))</f>
        <v>OK</v>
      </c>
    </row>
    <row r="115" spans="1:3">
      <c r="A115">
        <f>Ubicaciones!A103</f>
        <v>0</v>
      </c>
      <c r="B115" t="str">
        <f>IF(A115="","",IF(COUNTIF(Indicadores!$A$2:$A$501,A115)=0,"FALTA","OK"))</f>
        <v>FALTA</v>
      </c>
      <c r="C115" t="str">
        <f>IF(A115="","",IF(COUNTIF(Ubicaciones!$A$2:$A$501,A115)&gt;1,"DUPLICADO","OK"))</f>
        <v>OK</v>
      </c>
    </row>
    <row r="116" spans="1:3">
      <c r="A116">
        <f>Ubicaciones!A104</f>
        <v>0</v>
      </c>
      <c r="B116" t="str">
        <f>IF(A116="","",IF(COUNTIF(Indicadores!$A$2:$A$501,A116)=0,"FALTA","OK"))</f>
        <v>FALTA</v>
      </c>
      <c r="C116" t="str">
        <f>IF(A116="","",IF(COUNTIF(Ubicaciones!$A$2:$A$501,A116)&gt;1,"DUPLICADO","OK"))</f>
        <v>OK</v>
      </c>
    </row>
    <row r="117" spans="1:3">
      <c r="A117">
        <f>Ubicaciones!A105</f>
        <v>0</v>
      </c>
      <c r="B117" t="str">
        <f>IF(A117="","",IF(COUNTIF(Indicadores!$A$2:$A$501,A117)=0,"FALTA","OK"))</f>
        <v>FALTA</v>
      </c>
      <c r="C117" t="str">
        <f>IF(A117="","",IF(COUNTIF(Ubicaciones!$A$2:$A$501,A117)&gt;1,"DUPLICADO","OK"))</f>
        <v>OK</v>
      </c>
    </row>
    <row r="118" spans="1:3">
      <c r="A118">
        <f>Ubicaciones!A106</f>
        <v>0</v>
      </c>
      <c r="B118" t="str">
        <f>IF(A118="","",IF(COUNTIF(Indicadores!$A$2:$A$501,A118)=0,"FALTA","OK"))</f>
        <v>FALTA</v>
      </c>
      <c r="C118" t="str">
        <f>IF(A118="","",IF(COUNTIF(Ubicaciones!$A$2:$A$501,A118)&gt;1,"DUPLICADO","OK"))</f>
        <v>OK</v>
      </c>
    </row>
    <row r="119" spans="1:3">
      <c r="A119">
        <f>Ubicaciones!A107</f>
        <v>0</v>
      </c>
      <c r="B119" t="str">
        <f>IF(A119="","",IF(COUNTIF(Indicadores!$A$2:$A$501,A119)=0,"FALTA","OK"))</f>
        <v>FALTA</v>
      </c>
      <c r="C119" t="str">
        <f>IF(A119="","",IF(COUNTIF(Ubicaciones!$A$2:$A$501,A119)&gt;1,"DUPLICADO","OK"))</f>
        <v>OK</v>
      </c>
    </row>
    <row r="120" spans="1:3">
      <c r="A120">
        <f>Ubicaciones!A108</f>
        <v>0</v>
      </c>
      <c r="B120" t="str">
        <f>IF(A120="","",IF(COUNTIF(Indicadores!$A$2:$A$501,A120)=0,"FALTA","OK"))</f>
        <v>FALTA</v>
      </c>
      <c r="C120" t="str">
        <f>IF(A120="","",IF(COUNTIF(Ubicaciones!$A$2:$A$501,A120)&gt;1,"DUPLICADO","OK"))</f>
        <v>OK</v>
      </c>
    </row>
    <row r="121" spans="1:3">
      <c r="A121">
        <f>Ubicaciones!A109</f>
        <v>0</v>
      </c>
      <c r="B121" t="str">
        <f>IF(A121="","",IF(COUNTIF(Indicadores!$A$2:$A$501,A121)=0,"FALTA","OK"))</f>
        <v>FALTA</v>
      </c>
      <c r="C121" t="str">
        <f>IF(A121="","",IF(COUNTIF(Ubicaciones!$A$2:$A$501,A121)&gt;1,"DUPLICADO","OK"))</f>
        <v>OK</v>
      </c>
    </row>
    <row r="122" spans="1:3">
      <c r="A122">
        <f>Ubicaciones!A110</f>
        <v>0</v>
      </c>
      <c r="B122" t="str">
        <f>IF(A122="","",IF(COUNTIF(Indicadores!$A$2:$A$501,A122)=0,"FALTA","OK"))</f>
        <v>FALTA</v>
      </c>
      <c r="C122" t="str">
        <f>IF(A122="","",IF(COUNTIF(Ubicaciones!$A$2:$A$501,A122)&gt;1,"DUPLICADO","OK"))</f>
        <v>OK</v>
      </c>
    </row>
    <row r="123" spans="1:3">
      <c r="A123">
        <f>Ubicaciones!A111</f>
        <v>0</v>
      </c>
      <c r="B123" t="str">
        <f>IF(A123="","",IF(COUNTIF(Indicadores!$A$2:$A$501,A123)=0,"FALTA","OK"))</f>
        <v>FALTA</v>
      </c>
      <c r="C123" t="str">
        <f>IF(A123="","",IF(COUNTIF(Ubicaciones!$A$2:$A$501,A123)&gt;1,"DUPLICADO","OK"))</f>
        <v>OK</v>
      </c>
    </row>
    <row r="124" spans="1:3">
      <c r="A124">
        <f>Ubicaciones!A112</f>
        <v>0</v>
      </c>
      <c r="B124" t="str">
        <f>IF(A124="","",IF(COUNTIF(Indicadores!$A$2:$A$501,A124)=0,"FALTA","OK"))</f>
        <v>FALTA</v>
      </c>
      <c r="C124" t="str">
        <f>IF(A124="","",IF(COUNTIF(Ubicaciones!$A$2:$A$501,A124)&gt;1,"DUPLICADO","OK"))</f>
        <v>OK</v>
      </c>
    </row>
    <row r="125" spans="1:3">
      <c r="A125">
        <f>Ubicaciones!A113</f>
        <v>0</v>
      </c>
      <c r="B125" t="str">
        <f>IF(A125="","",IF(COUNTIF(Indicadores!$A$2:$A$501,A125)=0,"FALTA","OK"))</f>
        <v>FALTA</v>
      </c>
      <c r="C125" t="str">
        <f>IF(A125="","",IF(COUNTIF(Ubicaciones!$A$2:$A$501,A125)&gt;1,"DUPLICADO","OK"))</f>
        <v>OK</v>
      </c>
    </row>
    <row r="126" spans="1:3">
      <c r="A126">
        <f>Ubicaciones!A114</f>
        <v>0</v>
      </c>
      <c r="B126" t="str">
        <f>IF(A126="","",IF(COUNTIF(Indicadores!$A$2:$A$501,A126)=0,"FALTA","OK"))</f>
        <v>FALTA</v>
      </c>
      <c r="C126" t="str">
        <f>IF(A126="","",IF(COUNTIF(Ubicaciones!$A$2:$A$501,A126)&gt;1,"DUPLICADO","OK"))</f>
        <v>OK</v>
      </c>
    </row>
    <row r="127" spans="1:3">
      <c r="A127">
        <f>Ubicaciones!A115</f>
        <v>0</v>
      </c>
      <c r="B127" t="str">
        <f>IF(A127="","",IF(COUNTIF(Indicadores!$A$2:$A$501,A127)=0,"FALTA","OK"))</f>
        <v>FALTA</v>
      </c>
      <c r="C127" t="str">
        <f>IF(A127="","",IF(COUNTIF(Ubicaciones!$A$2:$A$501,A127)&gt;1,"DUPLICADO","OK"))</f>
        <v>OK</v>
      </c>
    </row>
    <row r="128" spans="1:3">
      <c r="A128">
        <f>Ubicaciones!A116</f>
        <v>0</v>
      </c>
      <c r="B128" t="str">
        <f>IF(A128="","",IF(COUNTIF(Indicadores!$A$2:$A$501,A128)=0,"FALTA","OK"))</f>
        <v>FALTA</v>
      </c>
      <c r="C128" t="str">
        <f>IF(A128="","",IF(COUNTIF(Ubicaciones!$A$2:$A$501,A128)&gt;1,"DUPLICADO","OK"))</f>
        <v>OK</v>
      </c>
    </row>
    <row r="129" spans="1:3">
      <c r="A129">
        <f>Ubicaciones!A117</f>
        <v>0</v>
      </c>
      <c r="B129" t="str">
        <f>IF(A129="","",IF(COUNTIF(Indicadores!$A$2:$A$501,A129)=0,"FALTA","OK"))</f>
        <v>FALTA</v>
      </c>
      <c r="C129" t="str">
        <f>IF(A129="","",IF(COUNTIF(Ubicaciones!$A$2:$A$501,A129)&gt;1,"DUPLICADO","OK"))</f>
        <v>OK</v>
      </c>
    </row>
    <row r="130" spans="1:3">
      <c r="A130">
        <f>Ubicaciones!A118</f>
        <v>0</v>
      </c>
      <c r="B130" t="str">
        <f>IF(A130="","",IF(COUNTIF(Indicadores!$A$2:$A$501,A130)=0,"FALTA","OK"))</f>
        <v>FALTA</v>
      </c>
      <c r="C130" t="str">
        <f>IF(A130="","",IF(COUNTIF(Ubicaciones!$A$2:$A$501,A130)&gt;1,"DUPLICADO","OK"))</f>
        <v>OK</v>
      </c>
    </row>
    <row r="131" spans="1:3">
      <c r="A131">
        <f>Ubicaciones!A119</f>
        <v>0</v>
      </c>
      <c r="B131" t="str">
        <f>IF(A131="","",IF(COUNTIF(Indicadores!$A$2:$A$501,A131)=0,"FALTA","OK"))</f>
        <v>FALTA</v>
      </c>
      <c r="C131" t="str">
        <f>IF(A131="","",IF(COUNTIF(Ubicaciones!$A$2:$A$501,A131)&gt;1,"DUPLICADO","OK"))</f>
        <v>OK</v>
      </c>
    </row>
    <row r="132" spans="1:3">
      <c r="A132">
        <f>Ubicaciones!A120</f>
        <v>0</v>
      </c>
      <c r="B132" t="str">
        <f>IF(A132="","",IF(COUNTIF(Indicadores!$A$2:$A$501,A132)=0,"FALTA","OK"))</f>
        <v>FALTA</v>
      </c>
      <c r="C132" t="str">
        <f>IF(A132="","",IF(COUNTIF(Ubicaciones!$A$2:$A$501,A132)&gt;1,"DUPLICADO","OK"))</f>
        <v>OK</v>
      </c>
    </row>
    <row r="133" spans="1:3">
      <c r="A133">
        <f>Ubicaciones!A121</f>
        <v>0</v>
      </c>
      <c r="B133" t="str">
        <f>IF(A133="","",IF(COUNTIF(Indicadores!$A$2:$A$501,A133)=0,"FALTA","OK"))</f>
        <v>FALTA</v>
      </c>
      <c r="C133" t="str">
        <f>IF(A133="","",IF(COUNTIF(Ubicaciones!$A$2:$A$501,A133)&gt;1,"DUPLICADO","OK"))</f>
        <v>OK</v>
      </c>
    </row>
    <row r="134" spans="1:3">
      <c r="A134">
        <f>Ubicaciones!A122</f>
        <v>0</v>
      </c>
      <c r="B134" t="str">
        <f>IF(A134="","",IF(COUNTIF(Indicadores!$A$2:$A$501,A134)=0,"FALTA","OK"))</f>
        <v>FALTA</v>
      </c>
      <c r="C134" t="str">
        <f>IF(A134="","",IF(COUNTIF(Ubicaciones!$A$2:$A$501,A134)&gt;1,"DUPLICADO","OK"))</f>
        <v>OK</v>
      </c>
    </row>
    <row r="135" spans="1:3">
      <c r="A135">
        <f>Ubicaciones!A123</f>
        <v>0</v>
      </c>
      <c r="B135" t="str">
        <f>IF(A135="","",IF(COUNTIF(Indicadores!$A$2:$A$501,A135)=0,"FALTA","OK"))</f>
        <v>FALTA</v>
      </c>
      <c r="C135" t="str">
        <f>IF(A135="","",IF(COUNTIF(Ubicaciones!$A$2:$A$501,A135)&gt;1,"DUPLICADO","OK"))</f>
        <v>OK</v>
      </c>
    </row>
    <row r="136" spans="1:3">
      <c r="A136">
        <f>Ubicaciones!A124</f>
        <v>0</v>
      </c>
      <c r="B136" t="str">
        <f>IF(A136="","",IF(COUNTIF(Indicadores!$A$2:$A$501,A136)=0,"FALTA","OK"))</f>
        <v>FALTA</v>
      </c>
      <c r="C136" t="str">
        <f>IF(A136="","",IF(COUNTIF(Ubicaciones!$A$2:$A$501,A136)&gt;1,"DUPLICADO","OK"))</f>
        <v>OK</v>
      </c>
    </row>
    <row r="137" spans="1:3">
      <c r="A137">
        <f>Ubicaciones!A125</f>
        <v>0</v>
      </c>
      <c r="B137" t="str">
        <f>IF(A137="","",IF(COUNTIF(Indicadores!$A$2:$A$501,A137)=0,"FALTA","OK"))</f>
        <v>FALTA</v>
      </c>
      <c r="C137" t="str">
        <f>IF(A137="","",IF(COUNTIF(Ubicaciones!$A$2:$A$501,A137)&gt;1,"DUPLICADO","OK"))</f>
        <v>OK</v>
      </c>
    </row>
    <row r="138" spans="1:3">
      <c r="A138">
        <f>Ubicaciones!A126</f>
        <v>0</v>
      </c>
      <c r="B138" t="str">
        <f>IF(A138="","",IF(COUNTIF(Indicadores!$A$2:$A$501,A138)=0,"FALTA","OK"))</f>
        <v>FALTA</v>
      </c>
      <c r="C138" t="str">
        <f>IF(A138="","",IF(COUNTIF(Ubicaciones!$A$2:$A$501,A138)&gt;1,"DUPLICADO","OK"))</f>
        <v>OK</v>
      </c>
    </row>
    <row r="139" spans="1:3">
      <c r="A139">
        <f>Ubicaciones!A127</f>
        <v>0</v>
      </c>
      <c r="B139" t="str">
        <f>IF(A139="","",IF(COUNTIF(Indicadores!$A$2:$A$501,A139)=0,"FALTA","OK"))</f>
        <v>FALTA</v>
      </c>
      <c r="C139" t="str">
        <f>IF(A139="","",IF(COUNTIF(Ubicaciones!$A$2:$A$501,A139)&gt;1,"DUPLICADO","OK"))</f>
        <v>OK</v>
      </c>
    </row>
    <row r="140" spans="1:3">
      <c r="A140">
        <f>Ubicaciones!A128</f>
        <v>0</v>
      </c>
      <c r="B140" t="str">
        <f>IF(A140="","",IF(COUNTIF(Indicadores!$A$2:$A$501,A140)=0,"FALTA","OK"))</f>
        <v>FALTA</v>
      </c>
      <c r="C140" t="str">
        <f>IF(A140="","",IF(COUNTIF(Ubicaciones!$A$2:$A$501,A140)&gt;1,"DUPLICADO","OK"))</f>
        <v>OK</v>
      </c>
    </row>
    <row r="141" spans="1:3">
      <c r="A141">
        <f>Ubicaciones!A129</f>
        <v>0</v>
      </c>
      <c r="B141" t="str">
        <f>IF(A141="","",IF(COUNTIF(Indicadores!$A$2:$A$501,A141)=0,"FALTA","OK"))</f>
        <v>FALTA</v>
      </c>
      <c r="C141" t="str">
        <f>IF(A141="","",IF(COUNTIF(Ubicaciones!$A$2:$A$501,A141)&gt;1,"DUPLICADO","OK"))</f>
        <v>OK</v>
      </c>
    </row>
    <row r="142" spans="1:3">
      <c r="A142">
        <f>Ubicaciones!A130</f>
        <v>0</v>
      </c>
      <c r="B142" t="str">
        <f>IF(A142="","",IF(COUNTIF(Indicadores!$A$2:$A$501,A142)=0,"FALTA","OK"))</f>
        <v>FALTA</v>
      </c>
      <c r="C142" t="str">
        <f>IF(A142="","",IF(COUNTIF(Ubicaciones!$A$2:$A$501,A142)&gt;1,"DUPLICADO","OK"))</f>
        <v>OK</v>
      </c>
    </row>
    <row r="143" spans="1:3">
      <c r="A143">
        <f>Ubicaciones!A131</f>
        <v>0</v>
      </c>
      <c r="B143" t="str">
        <f>IF(A143="","",IF(COUNTIF(Indicadores!$A$2:$A$501,A143)=0,"FALTA","OK"))</f>
        <v>FALTA</v>
      </c>
      <c r="C143" t="str">
        <f>IF(A143="","",IF(COUNTIF(Ubicaciones!$A$2:$A$501,A143)&gt;1,"DUPLICADO","OK"))</f>
        <v>OK</v>
      </c>
    </row>
    <row r="144" spans="1:3">
      <c r="A144">
        <f>Ubicaciones!A132</f>
        <v>0</v>
      </c>
      <c r="B144" t="str">
        <f>IF(A144="","",IF(COUNTIF(Indicadores!$A$2:$A$501,A144)=0,"FALTA","OK"))</f>
        <v>FALTA</v>
      </c>
      <c r="C144" t="str">
        <f>IF(A144="","",IF(COUNTIF(Ubicaciones!$A$2:$A$501,A144)&gt;1,"DUPLICADO","OK"))</f>
        <v>OK</v>
      </c>
    </row>
    <row r="145" spans="1:3">
      <c r="A145">
        <f>Ubicaciones!A133</f>
        <v>0</v>
      </c>
      <c r="B145" t="str">
        <f>IF(A145="","",IF(COUNTIF(Indicadores!$A$2:$A$501,A145)=0,"FALTA","OK"))</f>
        <v>FALTA</v>
      </c>
      <c r="C145" t="str">
        <f>IF(A145="","",IF(COUNTIF(Ubicaciones!$A$2:$A$501,A145)&gt;1,"DUPLICADO","OK"))</f>
        <v>OK</v>
      </c>
    </row>
    <row r="146" spans="1:3">
      <c r="A146">
        <f>Ubicaciones!A134</f>
        <v>0</v>
      </c>
      <c r="B146" t="str">
        <f>IF(A146="","",IF(COUNTIF(Indicadores!$A$2:$A$501,A146)=0,"FALTA","OK"))</f>
        <v>FALTA</v>
      </c>
      <c r="C146" t="str">
        <f>IF(A146="","",IF(COUNTIF(Ubicaciones!$A$2:$A$501,A146)&gt;1,"DUPLICADO","OK"))</f>
        <v>OK</v>
      </c>
    </row>
    <row r="147" spans="1:3">
      <c r="A147">
        <f>Ubicaciones!A135</f>
        <v>0</v>
      </c>
      <c r="B147" t="str">
        <f>IF(A147="","",IF(COUNTIF(Indicadores!$A$2:$A$501,A147)=0,"FALTA","OK"))</f>
        <v>FALTA</v>
      </c>
      <c r="C147" t="str">
        <f>IF(A147="","",IF(COUNTIF(Ubicaciones!$A$2:$A$501,A147)&gt;1,"DUPLICADO","OK"))</f>
        <v>OK</v>
      </c>
    </row>
    <row r="148" spans="1:3">
      <c r="A148">
        <f>Ubicaciones!A136</f>
        <v>0</v>
      </c>
      <c r="B148" t="str">
        <f>IF(A148="","",IF(COUNTIF(Indicadores!$A$2:$A$501,A148)=0,"FALTA","OK"))</f>
        <v>FALTA</v>
      </c>
      <c r="C148" t="str">
        <f>IF(A148="","",IF(COUNTIF(Ubicaciones!$A$2:$A$501,A148)&gt;1,"DUPLICADO","OK"))</f>
        <v>OK</v>
      </c>
    </row>
    <row r="149" spans="1:3">
      <c r="A149">
        <f>Ubicaciones!A137</f>
        <v>0</v>
      </c>
      <c r="B149" t="str">
        <f>IF(A149="","",IF(COUNTIF(Indicadores!$A$2:$A$501,A149)=0,"FALTA","OK"))</f>
        <v>FALTA</v>
      </c>
      <c r="C149" t="str">
        <f>IF(A149="","",IF(COUNTIF(Ubicaciones!$A$2:$A$501,A149)&gt;1,"DUPLICADO","OK"))</f>
        <v>OK</v>
      </c>
    </row>
    <row r="150" spans="1:3">
      <c r="A150">
        <f>Ubicaciones!A138</f>
        <v>0</v>
      </c>
      <c r="B150" t="str">
        <f>IF(A150="","",IF(COUNTIF(Indicadores!$A$2:$A$501,A150)=0,"FALTA","OK"))</f>
        <v>FALTA</v>
      </c>
      <c r="C150" t="str">
        <f>IF(A150="","",IF(COUNTIF(Ubicaciones!$A$2:$A$501,A150)&gt;1,"DUPLICADO","OK"))</f>
        <v>OK</v>
      </c>
    </row>
    <row r="151" spans="1:3">
      <c r="A151">
        <f>Ubicaciones!A139</f>
        <v>0</v>
      </c>
      <c r="B151" t="str">
        <f>IF(A151="","",IF(COUNTIF(Indicadores!$A$2:$A$501,A151)=0,"FALTA","OK"))</f>
        <v>FALTA</v>
      </c>
      <c r="C151" t="str">
        <f>IF(A151="","",IF(COUNTIF(Ubicaciones!$A$2:$A$501,A151)&gt;1,"DUPLICADO","OK"))</f>
        <v>OK</v>
      </c>
    </row>
    <row r="152" spans="1:3">
      <c r="A152">
        <f>Ubicaciones!A140</f>
        <v>0</v>
      </c>
      <c r="B152" t="str">
        <f>IF(A152="","",IF(COUNTIF(Indicadores!$A$2:$A$501,A152)=0,"FALTA","OK"))</f>
        <v>FALTA</v>
      </c>
      <c r="C152" t="str">
        <f>IF(A152="","",IF(COUNTIF(Ubicaciones!$A$2:$A$501,A152)&gt;1,"DUPLICADO","OK"))</f>
        <v>OK</v>
      </c>
    </row>
    <row r="153" spans="1:3">
      <c r="A153">
        <f>Ubicaciones!A141</f>
        <v>0</v>
      </c>
      <c r="B153" t="str">
        <f>IF(A153="","",IF(COUNTIF(Indicadores!$A$2:$A$501,A153)=0,"FALTA","OK"))</f>
        <v>FALTA</v>
      </c>
      <c r="C153" t="str">
        <f>IF(A153="","",IF(COUNTIF(Ubicaciones!$A$2:$A$501,A153)&gt;1,"DUPLICADO","OK"))</f>
        <v>OK</v>
      </c>
    </row>
    <row r="154" spans="1:3">
      <c r="A154">
        <f>Ubicaciones!A142</f>
        <v>0</v>
      </c>
      <c r="B154" t="str">
        <f>IF(A154="","",IF(COUNTIF(Indicadores!$A$2:$A$501,A154)=0,"FALTA","OK"))</f>
        <v>FALTA</v>
      </c>
      <c r="C154" t="str">
        <f>IF(A154="","",IF(COUNTIF(Ubicaciones!$A$2:$A$501,A154)&gt;1,"DUPLICADO","OK"))</f>
        <v>OK</v>
      </c>
    </row>
    <row r="155" spans="1:3">
      <c r="A155">
        <f>Ubicaciones!A143</f>
        <v>0</v>
      </c>
      <c r="B155" t="str">
        <f>IF(A155="","",IF(COUNTIF(Indicadores!$A$2:$A$501,A155)=0,"FALTA","OK"))</f>
        <v>FALTA</v>
      </c>
      <c r="C155" t="str">
        <f>IF(A155="","",IF(COUNTIF(Ubicaciones!$A$2:$A$501,A155)&gt;1,"DUPLICADO","OK"))</f>
        <v>OK</v>
      </c>
    </row>
    <row r="156" spans="1:3">
      <c r="A156">
        <f>Ubicaciones!A144</f>
        <v>0</v>
      </c>
      <c r="B156" t="str">
        <f>IF(A156="","",IF(COUNTIF(Indicadores!$A$2:$A$501,A156)=0,"FALTA","OK"))</f>
        <v>FALTA</v>
      </c>
      <c r="C156" t="str">
        <f>IF(A156="","",IF(COUNTIF(Ubicaciones!$A$2:$A$501,A156)&gt;1,"DUPLICADO","OK"))</f>
        <v>OK</v>
      </c>
    </row>
    <row r="157" spans="1:3">
      <c r="A157">
        <f>Ubicaciones!A145</f>
        <v>0</v>
      </c>
      <c r="B157" t="str">
        <f>IF(A157="","",IF(COUNTIF(Indicadores!$A$2:$A$501,A157)=0,"FALTA","OK"))</f>
        <v>FALTA</v>
      </c>
      <c r="C157" t="str">
        <f>IF(A157="","",IF(COUNTIF(Ubicaciones!$A$2:$A$501,A157)&gt;1,"DUPLICADO","OK"))</f>
        <v>OK</v>
      </c>
    </row>
    <row r="158" spans="1:3">
      <c r="A158">
        <f>Ubicaciones!A146</f>
        <v>0</v>
      </c>
      <c r="B158" t="str">
        <f>IF(A158="","",IF(COUNTIF(Indicadores!$A$2:$A$501,A158)=0,"FALTA","OK"))</f>
        <v>FALTA</v>
      </c>
      <c r="C158" t="str">
        <f>IF(A158="","",IF(COUNTIF(Ubicaciones!$A$2:$A$501,A158)&gt;1,"DUPLICADO","OK"))</f>
        <v>OK</v>
      </c>
    </row>
    <row r="159" spans="1:3">
      <c r="A159">
        <f>Ubicaciones!A147</f>
        <v>0</v>
      </c>
      <c r="B159" t="str">
        <f>IF(A159="","",IF(COUNTIF(Indicadores!$A$2:$A$501,A159)=0,"FALTA","OK"))</f>
        <v>FALTA</v>
      </c>
      <c r="C159" t="str">
        <f>IF(A159="","",IF(COUNTIF(Ubicaciones!$A$2:$A$501,A159)&gt;1,"DUPLICADO","OK"))</f>
        <v>OK</v>
      </c>
    </row>
    <row r="160" spans="1:3">
      <c r="A160">
        <f>Ubicaciones!A148</f>
        <v>0</v>
      </c>
      <c r="B160" t="str">
        <f>IF(A160="","",IF(COUNTIF(Indicadores!$A$2:$A$501,A160)=0,"FALTA","OK"))</f>
        <v>FALTA</v>
      </c>
      <c r="C160" t="str">
        <f>IF(A160="","",IF(COUNTIF(Ubicaciones!$A$2:$A$501,A160)&gt;1,"DUPLICADO","OK"))</f>
        <v>OK</v>
      </c>
    </row>
    <row r="161" spans="1:3">
      <c r="A161">
        <f>Ubicaciones!A149</f>
        <v>0</v>
      </c>
      <c r="B161" t="str">
        <f>IF(A161="","",IF(COUNTIF(Indicadores!$A$2:$A$501,A161)=0,"FALTA","OK"))</f>
        <v>FALTA</v>
      </c>
      <c r="C161" t="str">
        <f>IF(A161="","",IF(COUNTIF(Ubicaciones!$A$2:$A$501,A161)&gt;1,"DUPLICADO","OK"))</f>
        <v>OK</v>
      </c>
    </row>
    <row r="162" spans="1:3">
      <c r="A162">
        <f>Ubicaciones!A150</f>
        <v>0</v>
      </c>
      <c r="B162" t="str">
        <f>IF(A162="","",IF(COUNTIF(Indicadores!$A$2:$A$501,A162)=0,"FALTA","OK"))</f>
        <v>FALTA</v>
      </c>
      <c r="C162" t="str">
        <f>IF(A162="","",IF(COUNTIF(Ubicaciones!$A$2:$A$501,A162)&gt;1,"DUPLICADO","OK"))</f>
        <v>OK</v>
      </c>
    </row>
    <row r="163" spans="1:3">
      <c r="A163">
        <f>Ubicaciones!A151</f>
        <v>0</v>
      </c>
      <c r="B163" t="str">
        <f>IF(A163="","",IF(COUNTIF(Indicadores!$A$2:$A$501,A163)=0,"FALTA","OK"))</f>
        <v>FALTA</v>
      </c>
      <c r="C163" t="str">
        <f>IF(A163="","",IF(COUNTIF(Ubicaciones!$A$2:$A$501,A163)&gt;1,"DUPLICADO","OK"))</f>
        <v>OK</v>
      </c>
    </row>
    <row r="164" spans="1:3">
      <c r="A164">
        <f>Ubicaciones!A152</f>
        <v>0</v>
      </c>
      <c r="B164" t="str">
        <f>IF(A164="","",IF(COUNTIF(Indicadores!$A$2:$A$501,A164)=0,"FALTA","OK"))</f>
        <v>FALTA</v>
      </c>
      <c r="C164" t="str">
        <f>IF(A164="","",IF(COUNTIF(Ubicaciones!$A$2:$A$501,A164)&gt;1,"DUPLICADO","OK"))</f>
        <v>OK</v>
      </c>
    </row>
    <row r="165" spans="1:3">
      <c r="A165">
        <f>Ubicaciones!A153</f>
        <v>0</v>
      </c>
      <c r="B165" t="str">
        <f>IF(A165="","",IF(COUNTIF(Indicadores!$A$2:$A$501,A165)=0,"FALTA","OK"))</f>
        <v>FALTA</v>
      </c>
      <c r="C165" t="str">
        <f>IF(A165="","",IF(COUNTIF(Ubicaciones!$A$2:$A$501,A165)&gt;1,"DUPLICADO","OK"))</f>
        <v>OK</v>
      </c>
    </row>
    <row r="166" spans="1:3">
      <c r="A166">
        <f>Ubicaciones!A154</f>
        <v>0</v>
      </c>
      <c r="B166" t="str">
        <f>IF(A166="","",IF(COUNTIF(Indicadores!$A$2:$A$501,A166)=0,"FALTA","OK"))</f>
        <v>FALTA</v>
      </c>
      <c r="C166" t="str">
        <f>IF(A166="","",IF(COUNTIF(Ubicaciones!$A$2:$A$501,A166)&gt;1,"DUPLICADO","OK"))</f>
        <v>OK</v>
      </c>
    </row>
    <row r="167" spans="1:3">
      <c r="A167">
        <f>Ubicaciones!A155</f>
        <v>0</v>
      </c>
      <c r="B167" t="str">
        <f>IF(A167="","",IF(COUNTIF(Indicadores!$A$2:$A$501,A167)=0,"FALTA","OK"))</f>
        <v>FALTA</v>
      </c>
      <c r="C167" t="str">
        <f>IF(A167="","",IF(COUNTIF(Ubicaciones!$A$2:$A$501,A167)&gt;1,"DUPLICADO","OK"))</f>
        <v>OK</v>
      </c>
    </row>
    <row r="168" spans="1:3">
      <c r="A168">
        <f>Ubicaciones!A156</f>
        <v>0</v>
      </c>
      <c r="B168" t="str">
        <f>IF(A168="","",IF(COUNTIF(Indicadores!$A$2:$A$501,A168)=0,"FALTA","OK"))</f>
        <v>FALTA</v>
      </c>
      <c r="C168" t="str">
        <f>IF(A168="","",IF(COUNTIF(Ubicaciones!$A$2:$A$501,A168)&gt;1,"DUPLICADO","OK"))</f>
        <v>OK</v>
      </c>
    </row>
    <row r="169" spans="1:3">
      <c r="A169">
        <f>Ubicaciones!A157</f>
        <v>0</v>
      </c>
      <c r="B169" t="str">
        <f>IF(A169="","",IF(COUNTIF(Indicadores!$A$2:$A$501,A169)=0,"FALTA","OK"))</f>
        <v>FALTA</v>
      </c>
      <c r="C169" t="str">
        <f>IF(A169="","",IF(COUNTIF(Ubicaciones!$A$2:$A$501,A169)&gt;1,"DUPLICADO","OK"))</f>
        <v>OK</v>
      </c>
    </row>
    <row r="170" spans="1:3">
      <c r="A170">
        <f>Ubicaciones!A158</f>
        <v>0</v>
      </c>
      <c r="B170" t="str">
        <f>IF(A170="","",IF(COUNTIF(Indicadores!$A$2:$A$501,A170)=0,"FALTA","OK"))</f>
        <v>FALTA</v>
      </c>
      <c r="C170" t="str">
        <f>IF(A170="","",IF(COUNTIF(Ubicaciones!$A$2:$A$501,A170)&gt;1,"DUPLICADO","OK"))</f>
        <v>OK</v>
      </c>
    </row>
    <row r="171" spans="1:3">
      <c r="A171">
        <f>Ubicaciones!A159</f>
        <v>0</v>
      </c>
      <c r="B171" t="str">
        <f>IF(A171="","",IF(COUNTIF(Indicadores!$A$2:$A$501,A171)=0,"FALTA","OK"))</f>
        <v>FALTA</v>
      </c>
      <c r="C171" t="str">
        <f>IF(A171="","",IF(COUNTIF(Ubicaciones!$A$2:$A$501,A171)&gt;1,"DUPLICADO","OK"))</f>
        <v>OK</v>
      </c>
    </row>
    <row r="172" spans="1:3">
      <c r="A172">
        <f>Ubicaciones!A160</f>
        <v>0</v>
      </c>
      <c r="B172" t="str">
        <f>IF(A172="","",IF(COUNTIF(Indicadores!$A$2:$A$501,A172)=0,"FALTA","OK"))</f>
        <v>FALTA</v>
      </c>
      <c r="C172" t="str">
        <f>IF(A172="","",IF(COUNTIF(Ubicaciones!$A$2:$A$501,A172)&gt;1,"DUPLICADO","OK"))</f>
        <v>OK</v>
      </c>
    </row>
    <row r="173" spans="1:3">
      <c r="A173">
        <f>Ubicaciones!A161</f>
        <v>0</v>
      </c>
      <c r="B173" t="str">
        <f>IF(A173="","",IF(COUNTIF(Indicadores!$A$2:$A$501,A173)=0,"FALTA","OK"))</f>
        <v>FALTA</v>
      </c>
      <c r="C173" t="str">
        <f>IF(A173="","",IF(COUNTIF(Ubicaciones!$A$2:$A$501,A173)&gt;1,"DUPLICADO","OK"))</f>
        <v>OK</v>
      </c>
    </row>
    <row r="174" spans="1:3">
      <c r="A174">
        <f>Ubicaciones!A162</f>
        <v>0</v>
      </c>
      <c r="B174" t="str">
        <f>IF(A174="","",IF(COUNTIF(Indicadores!$A$2:$A$501,A174)=0,"FALTA","OK"))</f>
        <v>FALTA</v>
      </c>
      <c r="C174" t="str">
        <f>IF(A174="","",IF(COUNTIF(Ubicaciones!$A$2:$A$501,A174)&gt;1,"DUPLICADO","OK"))</f>
        <v>OK</v>
      </c>
    </row>
    <row r="175" spans="1:3">
      <c r="A175">
        <f>Ubicaciones!A163</f>
        <v>0</v>
      </c>
      <c r="B175" t="str">
        <f>IF(A175="","",IF(COUNTIF(Indicadores!$A$2:$A$501,A175)=0,"FALTA","OK"))</f>
        <v>FALTA</v>
      </c>
      <c r="C175" t="str">
        <f>IF(A175="","",IF(COUNTIF(Ubicaciones!$A$2:$A$501,A175)&gt;1,"DUPLICADO","OK"))</f>
        <v>OK</v>
      </c>
    </row>
    <row r="176" spans="1:3">
      <c r="A176">
        <f>Ubicaciones!A164</f>
        <v>0</v>
      </c>
      <c r="B176" t="str">
        <f>IF(A176="","",IF(COUNTIF(Indicadores!$A$2:$A$501,A176)=0,"FALTA","OK"))</f>
        <v>FALTA</v>
      </c>
      <c r="C176" t="str">
        <f>IF(A176="","",IF(COUNTIF(Ubicaciones!$A$2:$A$501,A176)&gt;1,"DUPLICADO","OK"))</f>
        <v>OK</v>
      </c>
    </row>
    <row r="177" spans="1:3">
      <c r="A177">
        <f>Ubicaciones!A165</f>
        <v>0</v>
      </c>
      <c r="B177" t="str">
        <f>IF(A177="","",IF(COUNTIF(Indicadores!$A$2:$A$501,A177)=0,"FALTA","OK"))</f>
        <v>FALTA</v>
      </c>
      <c r="C177" t="str">
        <f>IF(A177="","",IF(COUNTIF(Ubicaciones!$A$2:$A$501,A177)&gt;1,"DUPLICADO","OK"))</f>
        <v>OK</v>
      </c>
    </row>
    <row r="178" spans="1:3">
      <c r="A178">
        <f>Ubicaciones!A166</f>
        <v>0</v>
      </c>
      <c r="B178" t="str">
        <f>IF(A178="","",IF(COUNTIF(Indicadores!$A$2:$A$501,A178)=0,"FALTA","OK"))</f>
        <v>FALTA</v>
      </c>
      <c r="C178" t="str">
        <f>IF(A178="","",IF(COUNTIF(Ubicaciones!$A$2:$A$501,A178)&gt;1,"DUPLICADO","OK"))</f>
        <v>OK</v>
      </c>
    </row>
    <row r="179" spans="1:3">
      <c r="A179">
        <f>Ubicaciones!A167</f>
        <v>0</v>
      </c>
      <c r="B179" t="str">
        <f>IF(A179="","",IF(COUNTIF(Indicadores!$A$2:$A$501,A179)=0,"FALTA","OK"))</f>
        <v>FALTA</v>
      </c>
      <c r="C179" t="str">
        <f>IF(A179="","",IF(COUNTIF(Ubicaciones!$A$2:$A$501,A179)&gt;1,"DUPLICADO","OK"))</f>
        <v>OK</v>
      </c>
    </row>
    <row r="180" spans="1:3">
      <c r="A180">
        <f>Ubicaciones!A168</f>
        <v>0</v>
      </c>
      <c r="B180" t="str">
        <f>IF(A180="","",IF(COUNTIF(Indicadores!$A$2:$A$501,A180)=0,"FALTA","OK"))</f>
        <v>FALTA</v>
      </c>
      <c r="C180" t="str">
        <f>IF(A180="","",IF(COUNTIF(Ubicaciones!$A$2:$A$501,A180)&gt;1,"DUPLICADO","OK"))</f>
        <v>OK</v>
      </c>
    </row>
    <row r="181" spans="1:3">
      <c r="A181">
        <f>Ubicaciones!A169</f>
        <v>0</v>
      </c>
      <c r="B181" t="str">
        <f>IF(A181="","",IF(COUNTIF(Indicadores!$A$2:$A$501,A181)=0,"FALTA","OK"))</f>
        <v>FALTA</v>
      </c>
      <c r="C181" t="str">
        <f>IF(A181="","",IF(COUNTIF(Ubicaciones!$A$2:$A$501,A181)&gt;1,"DUPLICADO","OK"))</f>
        <v>OK</v>
      </c>
    </row>
    <row r="182" spans="1:3">
      <c r="A182">
        <f>Ubicaciones!A170</f>
        <v>0</v>
      </c>
      <c r="B182" t="str">
        <f>IF(A182="","",IF(COUNTIF(Indicadores!$A$2:$A$501,A182)=0,"FALTA","OK"))</f>
        <v>FALTA</v>
      </c>
      <c r="C182" t="str">
        <f>IF(A182="","",IF(COUNTIF(Ubicaciones!$A$2:$A$501,A182)&gt;1,"DUPLICADO","OK"))</f>
        <v>OK</v>
      </c>
    </row>
    <row r="183" spans="1:3">
      <c r="A183">
        <f>Ubicaciones!A171</f>
        <v>0</v>
      </c>
      <c r="B183" t="str">
        <f>IF(A183="","",IF(COUNTIF(Indicadores!$A$2:$A$501,A183)=0,"FALTA","OK"))</f>
        <v>FALTA</v>
      </c>
      <c r="C183" t="str">
        <f>IF(A183="","",IF(COUNTIF(Ubicaciones!$A$2:$A$501,A183)&gt;1,"DUPLICADO","OK"))</f>
        <v>OK</v>
      </c>
    </row>
    <row r="184" spans="1:3">
      <c r="A184">
        <f>Ubicaciones!A172</f>
        <v>0</v>
      </c>
      <c r="B184" t="str">
        <f>IF(A184="","",IF(COUNTIF(Indicadores!$A$2:$A$501,A184)=0,"FALTA","OK"))</f>
        <v>FALTA</v>
      </c>
      <c r="C184" t="str">
        <f>IF(A184="","",IF(COUNTIF(Ubicaciones!$A$2:$A$501,A184)&gt;1,"DUPLICADO","OK"))</f>
        <v>OK</v>
      </c>
    </row>
    <row r="185" spans="1:3">
      <c r="A185">
        <f>Ubicaciones!A173</f>
        <v>0</v>
      </c>
      <c r="B185" t="str">
        <f>IF(A185="","",IF(COUNTIF(Indicadores!$A$2:$A$501,A185)=0,"FALTA","OK"))</f>
        <v>FALTA</v>
      </c>
      <c r="C185" t="str">
        <f>IF(A185="","",IF(COUNTIF(Ubicaciones!$A$2:$A$501,A185)&gt;1,"DUPLICADO","OK"))</f>
        <v>OK</v>
      </c>
    </row>
    <row r="186" spans="1:3">
      <c r="A186">
        <f>Ubicaciones!A174</f>
        <v>0</v>
      </c>
      <c r="B186" t="str">
        <f>IF(A186="","",IF(COUNTIF(Indicadores!$A$2:$A$501,A186)=0,"FALTA","OK"))</f>
        <v>FALTA</v>
      </c>
      <c r="C186" t="str">
        <f>IF(A186="","",IF(COUNTIF(Ubicaciones!$A$2:$A$501,A186)&gt;1,"DUPLICADO","OK"))</f>
        <v>OK</v>
      </c>
    </row>
    <row r="187" spans="1:3">
      <c r="A187">
        <f>Ubicaciones!A175</f>
        <v>0</v>
      </c>
      <c r="B187" t="str">
        <f>IF(A187="","",IF(COUNTIF(Indicadores!$A$2:$A$501,A187)=0,"FALTA","OK"))</f>
        <v>FALTA</v>
      </c>
      <c r="C187" t="str">
        <f>IF(A187="","",IF(COUNTIF(Ubicaciones!$A$2:$A$501,A187)&gt;1,"DUPLICADO","OK"))</f>
        <v>OK</v>
      </c>
    </row>
    <row r="188" spans="1:3">
      <c r="A188">
        <f>Ubicaciones!A176</f>
        <v>0</v>
      </c>
      <c r="B188" t="str">
        <f>IF(A188="","",IF(COUNTIF(Indicadores!$A$2:$A$501,A188)=0,"FALTA","OK"))</f>
        <v>FALTA</v>
      </c>
      <c r="C188" t="str">
        <f>IF(A188="","",IF(COUNTIF(Ubicaciones!$A$2:$A$501,A188)&gt;1,"DUPLICADO","OK"))</f>
        <v>OK</v>
      </c>
    </row>
    <row r="189" spans="1:3">
      <c r="A189">
        <f>Ubicaciones!A177</f>
        <v>0</v>
      </c>
      <c r="B189" t="str">
        <f>IF(A189="","",IF(COUNTIF(Indicadores!$A$2:$A$501,A189)=0,"FALTA","OK"))</f>
        <v>FALTA</v>
      </c>
      <c r="C189" t="str">
        <f>IF(A189="","",IF(COUNTIF(Ubicaciones!$A$2:$A$501,A189)&gt;1,"DUPLICADO","OK"))</f>
        <v>OK</v>
      </c>
    </row>
    <row r="190" spans="1:3">
      <c r="A190">
        <f>Ubicaciones!A178</f>
        <v>0</v>
      </c>
      <c r="B190" t="str">
        <f>IF(A190="","",IF(COUNTIF(Indicadores!$A$2:$A$501,A190)=0,"FALTA","OK"))</f>
        <v>FALTA</v>
      </c>
      <c r="C190" t="str">
        <f>IF(A190="","",IF(COUNTIF(Ubicaciones!$A$2:$A$501,A190)&gt;1,"DUPLICADO","OK"))</f>
        <v>OK</v>
      </c>
    </row>
    <row r="191" spans="1:3">
      <c r="A191">
        <f>Ubicaciones!A179</f>
        <v>0</v>
      </c>
      <c r="B191" t="str">
        <f>IF(A191="","",IF(COUNTIF(Indicadores!$A$2:$A$501,A191)=0,"FALTA","OK"))</f>
        <v>FALTA</v>
      </c>
      <c r="C191" t="str">
        <f>IF(A191="","",IF(COUNTIF(Ubicaciones!$A$2:$A$501,A191)&gt;1,"DUPLICADO","OK"))</f>
        <v>OK</v>
      </c>
    </row>
    <row r="192" spans="1:3">
      <c r="A192">
        <f>Ubicaciones!A180</f>
        <v>0</v>
      </c>
      <c r="B192" t="str">
        <f>IF(A192="","",IF(COUNTIF(Indicadores!$A$2:$A$501,A192)=0,"FALTA","OK"))</f>
        <v>FALTA</v>
      </c>
      <c r="C192" t="str">
        <f>IF(A192="","",IF(COUNTIF(Ubicaciones!$A$2:$A$501,A192)&gt;1,"DUPLICADO","OK"))</f>
        <v>OK</v>
      </c>
    </row>
    <row r="193" spans="1:3">
      <c r="A193">
        <f>Ubicaciones!A181</f>
        <v>0</v>
      </c>
      <c r="B193" t="str">
        <f>IF(A193="","",IF(COUNTIF(Indicadores!$A$2:$A$501,A193)=0,"FALTA","OK"))</f>
        <v>FALTA</v>
      </c>
      <c r="C193" t="str">
        <f>IF(A193="","",IF(COUNTIF(Ubicaciones!$A$2:$A$501,A193)&gt;1,"DUPLICADO","OK"))</f>
        <v>OK</v>
      </c>
    </row>
    <row r="194" spans="1:3">
      <c r="A194">
        <f>Ubicaciones!A182</f>
        <v>0</v>
      </c>
      <c r="B194" t="str">
        <f>IF(A194="","",IF(COUNTIF(Indicadores!$A$2:$A$501,A194)=0,"FALTA","OK"))</f>
        <v>FALTA</v>
      </c>
      <c r="C194" t="str">
        <f>IF(A194="","",IF(COUNTIF(Ubicaciones!$A$2:$A$501,A194)&gt;1,"DUPLICADO","OK"))</f>
        <v>OK</v>
      </c>
    </row>
    <row r="195" spans="1:3">
      <c r="A195">
        <f>Ubicaciones!A183</f>
        <v>0</v>
      </c>
      <c r="B195" t="str">
        <f>IF(A195="","",IF(COUNTIF(Indicadores!$A$2:$A$501,A195)=0,"FALTA","OK"))</f>
        <v>FALTA</v>
      </c>
      <c r="C195" t="str">
        <f>IF(A195="","",IF(COUNTIF(Ubicaciones!$A$2:$A$501,A195)&gt;1,"DUPLICADO","OK"))</f>
        <v>OK</v>
      </c>
    </row>
    <row r="196" spans="1:3">
      <c r="A196">
        <f>Ubicaciones!A184</f>
        <v>0</v>
      </c>
      <c r="B196" t="str">
        <f>IF(A196="","",IF(COUNTIF(Indicadores!$A$2:$A$501,A196)=0,"FALTA","OK"))</f>
        <v>FALTA</v>
      </c>
      <c r="C196" t="str">
        <f>IF(A196="","",IF(COUNTIF(Ubicaciones!$A$2:$A$501,A196)&gt;1,"DUPLICADO","OK"))</f>
        <v>OK</v>
      </c>
    </row>
    <row r="197" spans="1:3">
      <c r="A197">
        <f>Ubicaciones!A185</f>
        <v>0</v>
      </c>
      <c r="B197" t="str">
        <f>IF(A197="","",IF(COUNTIF(Indicadores!$A$2:$A$501,A197)=0,"FALTA","OK"))</f>
        <v>FALTA</v>
      </c>
      <c r="C197" t="str">
        <f>IF(A197="","",IF(COUNTIF(Ubicaciones!$A$2:$A$501,A197)&gt;1,"DUPLICADO","OK"))</f>
        <v>OK</v>
      </c>
    </row>
    <row r="198" spans="1:3">
      <c r="A198">
        <f>Ubicaciones!A186</f>
        <v>0</v>
      </c>
      <c r="B198" t="str">
        <f>IF(A198="","",IF(COUNTIF(Indicadores!$A$2:$A$501,A198)=0,"FALTA","OK"))</f>
        <v>FALTA</v>
      </c>
      <c r="C198" t="str">
        <f>IF(A198="","",IF(COUNTIF(Ubicaciones!$A$2:$A$501,A198)&gt;1,"DUPLICADO","OK"))</f>
        <v>OK</v>
      </c>
    </row>
    <row r="199" spans="1:3">
      <c r="A199">
        <f>Ubicaciones!A187</f>
        <v>0</v>
      </c>
      <c r="B199" t="str">
        <f>IF(A199="","",IF(COUNTIF(Indicadores!$A$2:$A$501,A199)=0,"FALTA","OK"))</f>
        <v>FALTA</v>
      </c>
      <c r="C199" t="str">
        <f>IF(A199="","",IF(COUNTIF(Ubicaciones!$A$2:$A$501,A199)&gt;1,"DUPLICADO","OK"))</f>
        <v>OK</v>
      </c>
    </row>
    <row r="200" spans="1:3">
      <c r="A200">
        <f>Ubicaciones!A188</f>
        <v>0</v>
      </c>
      <c r="B200" t="str">
        <f>IF(A200="","",IF(COUNTIF(Indicadores!$A$2:$A$501,A200)=0,"FALTA","OK"))</f>
        <v>FALTA</v>
      </c>
      <c r="C200" t="str">
        <f>IF(A200="","",IF(COUNTIF(Ubicaciones!$A$2:$A$501,A200)&gt;1,"DUPLICADO","OK"))</f>
        <v>OK</v>
      </c>
    </row>
    <row r="201" spans="1:3">
      <c r="A201">
        <f>Ubicaciones!A189</f>
        <v>0</v>
      </c>
      <c r="B201" t="str">
        <f>IF(A201="","",IF(COUNTIF(Indicadores!$A$2:$A$501,A201)=0,"FALTA","OK"))</f>
        <v>FALTA</v>
      </c>
      <c r="C201" t="str">
        <f>IF(A201="","",IF(COUNTIF(Ubicaciones!$A$2:$A$501,A201)&gt;1,"DUPLICADO","OK"))</f>
        <v>OK</v>
      </c>
    </row>
    <row r="202" spans="1:3">
      <c r="A202">
        <f>Ubicaciones!A190</f>
        <v>0</v>
      </c>
      <c r="B202" t="str">
        <f>IF(A202="","",IF(COUNTIF(Indicadores!$A$2:$A$501,A202)=0,"FALTA","OK"))</f>
        <v>FALTA</v>
      </c>
      <c r="C202" t="str">
        <f>IF(A202="","",IF(COUNTIF(Ubicaciones!$A$2:$A$501,A202)&gt;1,"DUPLICADO","OK"))</f>
        <v>OK</v>
      </c>
    </row>
    <row r="203" spans="1:3">
      <c r="A203">
        <f>Ubicaciones!A191</f>
        <v>0</v>
      </c>
      <c r="B203" t="str">
        <f>IF(A203="","",IF(COUNTIF(Indicadores!$A$2:$A$501,A203)=0,"FALTA","OK"))</f>
        <v>FALTA</v>
      </c>
      <c r="C203" t="str">
        <f>IF(A203="","",IF(COUNTIF(Ubicaciones!$A$2:$A$501,A203)&gt;1,"DUPLICADO","OK"))</f>
        <v>OK</v>
      </c>
    </row>
    <row r="204" spans="1:3">
      <c r="A204">
        <f>Ubicaciones!A192</f>
        <v>0</v>
      </c>
      <c r="B204" t="str">
        <f>IF(A204="","",IF(COUNTIF(Indicadores!$A$2:$A$501,A204)=0,"FALTA","OK"))</f>
        <v>FALTA</v>
      </c>
      <c r="C204" t="str">
        <f>IF(A204="","",IF(COUNTIF(Ubicaciones!$A$2:$A$501,A204)&gt;1,"DUPLICADO","OK"))</f>
        <v>OK</v>
      </c>
    </row>
    <row r="205" spans="1:3">
      <c r="A205">
        <f>Ubicaciones!A193</f>
        <v>0</v>
      </c>
      <c r="B205" t="str">
        <f>IF(A205="","",IF(COUNTIF(Indicadores!$A$2:$A$501,A205)=0,"FALTA","OK"))</f>
        <v>FALTA</v>
      </c>
      <c r="C205" t="str">
        <f>IF(A205="","",IF(COUNTIF(Ubicaciones!$A$2:$A$501,A205)&gt;1,"DUPLICADO","OK"))</f>
        <v>OK</v>
      </c>
    </row>
    <row r="206" spans="1:3">
      <c r="A206">
        <f>Ubicaciones!A194</f>
        <v>0</v>
      </c>
      <c r="B206" t="str">
        <f>IF(A206="","",IF(COUNTIF(Indicadores!$A$2:$A$501,A206)=0,"FALTA","OK"))</f>
        <v>FALTA</v>
      </c>
      <c r="C206" t="str">
        <f>IF(A206="","",IF(COUNTIF(Ubicaciones!$A$2:$A$501,A206)&gt;1,"DUPLICADO","OK"))</f>
        <v>OK</v>
      </c>
    </row>
    <row r="207" spans="1:3">
      <c r="A207">
        <f>Ubicaciones!A195</f>
        <v>0</v>
      </c>
      <c r="B207" t="str">
        <f>IF(A207="","",IF(COUNTIF(Indicadores!$A$2:$A$501,A207)=0,"FALTA","OK"))</f>
        <v>FALTA</v>
      </c>
      <c r="C207" t="str">
        <f>IF(A207="","",IF(COUNTIF(Ubicaciones!$A$2:$A$501,A207)&gt;1,"DUPLICADO","OK"))</f>
        <v>OK</v>
      </c>
    </row>
    <row r="208" spans="1:3">
      <c r="A208">
        <f>Ubicaciones!A196</f>
        <v>0</v>
      </c>
      <c r="B208" t="str">
        <f>IF(A208="","",IF(COUNTIF(Indicadores!$A$2:$A$501,A208)=0,"FALTA","OK"))</f>
        <v>FALTA</v>
      </c>
      <c r="C208" t="str">
        <f>IF(A208="","",IF(COUNTIF(Ubicaciones!$A$2:$A$501,A208)&gt;1,"DUPLICADO","OK"))</f>
        <v>OK</v>
      </c>
    </row>
    <row r="209" spans="1:3">
      <c r="A209">
        <f>Ubicaciones!A197</f>
        <v>0</v>
      </c>
      <c r="B209" t="str">
        <f>IF(A209="","",IF(COUNTIF(Indicadores!$A$2:$A$501,A209)=0,"FALTA","OK"))</f>
        <v>FALTA</v>
      </c>
      <c r="C209" t="str">
        <f>IF(A209="","",IF(COUNTIF(Ubicaciones!$A$2:$A$501,A209)&gt;1,"DUPLICADO","OK"))</f>
        <v>OK</v>
      </c>
    </row>
    <row r="210" spans="1:3">
      <c r="A210">
        <f>Ubicaciones!A198</f>
        <v>0</v>
      </c>
      <c r="B210" t="str">
        <f>IF(A210="","",IF(COUNTIF(Indicadores!$A$2:$A$501,A210)=0,"FALTA","OK"))</f>
        <v>FALTA</v>
      </c>
      <c r="C210" t="str">
        <f>IF(A210="","",IF(COUNTIF(Ubicaciones!$A$2:$A$501,A210)&gt;1,"DUPLICADO","OK"))</f>
        <v>OK</v>
      </c>
    </row>
    <row r="211" spans="1:3">
      <c r="A211">
        <f>Ubicaciones!A199</f>
        <v>0</v>
      </c>
      <c r="B211" t="str">
        <f>IF(A211="","",IF(COUNTIF(Indicadores!$A$2:$A$501,A211)=0,"FALTA","OK"))</f>
        <v>FALTA</v>
      </c>
      <c r="C211" t="str">
        <f>IF(A211="","",IF(COUNTIF(Ubicaciones!$A$2:$A$501,A211)&gt;1,"DUPLICADO","OK"))</f>
        <v>OK</v>
      </c>
    </row>
    <row r="212" spans="1:3">
      <c r="A212">
        <f>Ubicaciones!A200</f>
        <v>0</v>
      </c>
      <c r="B212" t="str">
        <f>IF(A212="","",IF(COUNTIF(Indicadores!$A$2:$A$501,A212)=0,"FALTA","OK"))</f>
        <v>FALTA</v>
      </c>
      <c r="C212" t="str">
        <f>IF(A212="","",IF(COUNTIF(Ubicaciones!$A$2:$A$501,A212)&gt;1,"DUPLICADO","OK"))</f>
        <v>OK</v>
      </c>
    </row>
    <row r="213" spans="1:3">
      <c r="A213">
        <f>Ubicaciones!A201</f>
        <v>0</v>
      </c>
      <c r="B213" t="str">
        <f>IF(A213="","",IF(COUNTIF(Indicadores!$A$2:$A$501,A213)=0,"FALTA","OK"))</f>
        <v>FALTA</v>
      </c>
      <c r="C213" t="str">
        <f>IF(A213="","",IF(COUNTIF(Ubicaciones!$A$2:$A$501,A213)&gt;1,"DUPLICADO","OK"))</f>
        <v>OK</v>
      </c>
    </row>
    <row r="214" spans="1:3">
      <c r="A214">
        <f>Ubicaciones!A202</f>
        <v>0</v>
      </c>
      <c r="B214" t="str">
        <f>IF(A214="","",IF(COUNTIF(Indicadores!$A$2:$A$501,A214)=0,"FALTA","OK"))</f>
        <v>FALTA</v>
      </c>
      <c r="C214" t="str">
        <f>IF(A214="","",IF(COUNTIF(Ubicaciones!$A$2:$A$501,A214)&gt;1,"DUPLICADO","OK"))</f>
        <v>OK</v>
      </c>
    </row>
    <row r="215" spans="1:3">
      <c r="A215">
        <f>Ubicaciones!A203</f>
        <v>0</v>
      </c>
      <c r="B215" t="str">
        <f>IF(A215="","",IF(COUNTIF(Indicadores!$A$2:$A$501,A215)=0,"FALTA","OK"))</f>
        <v>FALTA</v>
      </c>
      <c r="C215" t="str">
        <f>IF(A215="","",IF(COUNTIF(Ubicaciones!$A$2:$A$501,A215)&gt;1,"DUPLICADO","OK"))</f>
        <v>OK</v>
      </c>
    </row>
    <row r="216" spans="1:3">
      <c r="A216">
        <f>Ubicaciones!A204</f>
        <v>0</v>
      </c>
      <c r="B216" t="str">
        <f>IF(A216="","",IF(COUNTIF(Indicadores!$A$2:$A$501,A216)=0,"FALTA","OK"))</f>
        <v>FALTA</v>
      </c>
      <c r="C216" t="str">
        <f>IF(A216="","",IF(COUNTIF(Ubicaciones!$A$2:$A$501,A216)&gt;1,"DUPLICADO","OK"))</f>
        <v>OK</v>
      </c>
    </row>
    <row r="217" spans="1:3">
      <c r="A217">
        <f>Ubicaciones!A205</f>
        <v>0</v>
      </c>
      <c r="B217" t="str">
        <f>IF(A217="","",IF(COUNTIF(Indicadores!$A$2:$A$501,A217)=0,"FALTA","OK"))</f>
        <v>FALTA</v>
      </c>
      <c r="C217" t="str">
        <f>IF(A217="","",IF(COUNTIF(Ubicaciones!$A$2:$A$501,A217)&gt;1,"DUPLICADO","OK"))</f>
        <v>OK</v>
      </c>
    </row>
    <row r="218" spans="1:3">
      <c r="A218">
        <f>Ubicaciones!A206</f>
        <v>0</v>
      </c>
      <c r="B218" t="str">
        <f>IF(A218="","",IF(COUNTIF(Indicadores!$A$2:$A$501,A218)=0,"FALTA","OK"))</f>
        <v>FALTA</v>
      </c>
      <c r="C218" t="str">
        <f>IF(A218="","",IF(COUNTIF(Ubicaciones!$A$2:$A$501,A218)&gt;1,"DUPLICADO","OK"))</f>
        <v>OK</v>
      </c>
    </row>
    <row r="219" spans="1:3">
      <c r="A219">
        <f>Ubicaciones!A207</f>
        <v>0</v>
      </c>
      <c r="B219" t="str">
        <f>IF(A219="","",IF(COUNTIF(Indicadores!$A$2:$A$501,A219)=0,"FALTA","OK"))</f>
        <v>FALTA</v>
      </c>
      <c r="C219" t="str">
        <f>IF(A219="","",IF(COUNTIF(Ubicaciones!$A$2:$A$501,A219)&gt;1,"DUPLICADO","OK"))</f>
        <v>OK</v>
      </c>
    </row>
    <row r="220" spans="1:3">
      <c r="A220">
        <f>Ubicaciones!A208</f>
        <v>0</v>
      </c>
      <c r="B220" t="str">
        <f>IF(A220="","",IF(COUNTIF(Indicadores!$A$2:$A$501,A220)=0,"FALTA","OK"))</f>
        <v>FALTA</v>
      </c>
      <c r="C220" t="str">
        <f>IF(A220="","",IF(COUNTIF(Ubicaciones!$A$2:$A$501,A220)&gt;1,"DUPLICADO","OK"))</f>
        <v>OK</v>
      </c>
    </row>
    <row r="221" spans="1:3">
      <c r="A221">
        <f>Ubicaciones!A209</f>
        <v>0</v>
      </c>
      <c r="B221" t="str">
        <f>IF(A221="","",IF(COUNTIF(Indicadores!$A$2:$A$501,A221)=0,"FALTA","OK"))</f>
        <v>FALTA</v>
      </c>
      <c r="C221" t="str">
        <f>IF(A221="","",IF(COUNTIF(Ubicaciones!$A$2:$A$501,A221)&gt;1,"DUPLICADO","OK"))</f>
        <v>OK</v>
      </c>
    </row>
    <row r="222" spans="1:3">
      <c r="A222">
        <f>Ubicaciones!A210</f>
        <v>0</v>
      </c>
      <c r="B222" t="str">
        <f>IF(A222="","",IF(COUNTIF(Indicadores!$A$2:$A$501,A222)=0,"FALTA","OK"))</f>
        <v>FALTA</v>
      </c>
      <c r="C222" t="str">
        <f>IF(A222="","",IF(COUNTIF(Ubicaciones!$A$2:$A$501,A222)&gt;1,"DUPLICADO","OK"))</f>
        <v>OK</v>
      </c>
    </row>
    <row r="223" spans="1:3">
      <c r="A223">
        <f>Ubicaciones!A211</f>
        <v>0</v>
      </c>
      <c r="B223" t="str">
        <f>IF(A223="","",IF(COUNTIF(Indicadores!$A$2:$A$501,A223)=0,"FALTA","OK"))</f>
        <v>FALTA</v>
      </c>
      <c r="C223" t="str">
        <f>IF(A223="","",IF(COUNTIF(Ubicaciones!$A$2:$A$501,A223)&gt;1,"DUPLICADO","OK"))</f>
        <v>OK</v>
      </c>
    </row>
    <row r="224" spans="1:3">
      <c r="A224">
        <f>Ubicaciones!A212</f>
        <v>0</v>
      </c>
      <c r="B224" t="str">
        <f>IF(A224="","",IF(COUNTIF(Indicadores!$A$2:$A$501,A224)=0,"FALTA","OK"))</f>
        <v>FALTA</v>
      </c>
      <c r="C224" t="str">
        <f>IF(A224="","",IF(COUNTIF(Ubicaciones!$A$2:$A$501,A224)&gt;1,"DUPLICADO","OK"))</f>
        <v>OK</v>
      </c>
    </row>
    <row r="225" spans="1:3">
      <c r="A225">
        <f>Ubicaciones!A213</f>
        <v>0</v>
      </c>
      <c r="B225" t="str">
        <f>IF(A225="","",IF(COUNTIF(Indicadores!$A$2:$A$501,A225)=0,"FALTA","OK"))</f>
        <v>FALTA</v>
      </c>
      <c r="C225" t="str">
        <f>IF(A225="","",IF(COUNTIF(Ubicaciones!$A$2:$A$501,A225)&gt;1,"DUPLICADO","OK"))</f>
        <v>OK</v>
      </c>
    </row>
    <row r="226" spans="1:3">
      <c r="A226">
        <f>Ubicaciones!A214</f>
        <v>0</v>
      </c>
      <c r="B226" t="str">
        <f>IF(A226="","",IF(COUNTIF(Indicadores!$A$2:$A$501,A226)=0,"FALTA","OK"))</f>
        <v>FALTA</v>
      </c>
      <c r="C226" t="str">
        <f>IF(A226="","",IF(COUNTIF(Ubicaciones!$A$2:$A$501,A226)&gt;1,"DUPLICADO","OK"))</f>
        <v>OK</v>
      </c>
    </row>
    <row r="227" spans="1:3">
      <c r="A227">
        <f>Ubicaciones!A215</f>
        <v>0</v>
      </c>
      <c r="B227" t="str">
        <f>IF(A227="","",IF(COUNTIF(Indicadores!$A$2:$A$501,A227)=0,"FALTA","OK"))</f>
        <v>FALTA</v>
      </c>
      <c r="C227" t="str">
        <f>IF(A227="","",IF(COUNTIF(Ubicaciones!$A$2:$A$501,A227)&gt;1,"DUPLICADO","OK"))</f>
        <v>OK</v>
      </c>
    </row>
    <row r="228" spans="1:3">
      <c r="A228">
        <f>Ubicaciones!A216</f>
        <v>0</v>
      </c>
      <c r="B228" t="str">
        <f>IF(A228="","",IF(COUNTIF(Indicadores!$A$2:$A$501,A228)=0,"FALTA","OK"))</f>
        <v>FALTA</v>
      </c>
      <c r="C228" t="str">
        <f>IF(A228="","",IF(COUNTIF(Ubicaciones!$A$2:$A$501,A228)&gt;1,"DUPLICADO","OK"))</f>
        <v>OK</v>
      </c>
    </row>
    <row r="229" spans="1:3">
      <c r="A229">
        <f>Ubicaciones!A217</f>
        <v>0</v>
      </c>
      <c r="B229" t="str">
        <f>IF(A229="","",IF(COUNTIF(Indicadores!$A$2:$A$501,A229)=0,"FALTA","OK"))</f>
        <v>FALTA</v>
      </c>
      <c r="C229" t="str">
        <f>IF(A229="","",IF(COUNTIF(Ubicaciones!$A$2:$A$501,A229)&gt;1,"DUPLICADO","OK"))</f>
        <v>OK</v>
      </c>
    </row>
    <row r="230" spans="1:3">
      <c r="A230">
        <f>Ubicaciones!A218</f>
        <v>0</v>
      </c>
      <c r="B230" t="str">
        <f>IF(A230="","",IF(COUNTIF(Indicadores!$A$2:$A$501,A230)=0,"FALTA","OK"))</f>
        <v>FALTA</v>
      </c>
      <c r="C230" t="str">
        <f>IF(A230="","",IF(COUNTIF(Ubicaciones!$A$2:$A$501,A230)&gt;1,"DUPLICADO","OK"))</f>
        <v>OK</v>
      </c>
    </row>
    <row r="231" spans="1:3">
      <c r="A231">
        <f>Ubicaciones!A219</f>
        <v>0</v>
      </c>
      <c r="B231" t="str">
        <f>IF(A231="","",IF(COUNTIF(Indicadores!$A$2:$A$501,A231)=0,"FALTA","OK"))</f>
        <v>FALTA</v>
      </c>
      <c r="C231" t="str">
        <f>IF(A231="","",IF(COUNTIF(Ubicaciones!$A$2:$A$501,A231)&gt;1,"DUPLICADO","OK"))</f>
        <v>OK</v>
      </c>
    </row>
    <row r="232" spans="1:3">
      <c r="A232">
        <f>Ubicaciones!A220</f>
        <v>0</v>
      </c>
      <c r="B232" t="str">
        <f>IF(A232="","",IF(COUNTIF(Indicadores!$A$2:$A$501,A232)=0,"FALTA","OK"))</f>
        <v>FALTA</v>
      </c>
      <c r="C232" t="str">
        <f>IF(A232="","",IF(COUNTIF(Ubicaciones!$A$2:$A$501,A232)&gt;1,"DUPLICADO","OK"))</f>
        <v>OK</v>
      </c>
    </row>
    <row r="233" spans="1:3">
      <c r="A233">
        <f>Ubicaciones!A221</f>
        <v>0</v>
      </c>
      <c r="B233" t="str">
        <f>IF(A233="","",IF(COUNTIF(Indicadores!$A$2:$A$501,A233)=0,"FALTA","OK"))</f>
        <v>FALTA</v>
      </c>
      <c r="C233" t="str">
        <f>IF(A233="","",IF(COUNTIF(Ubicaciones!$A$2:$A$501,A233)&gt;1,"DUPLICADO","OK"))</f>
        <v>OK</v>
      </c>
    </row>
    <row r="234" spans="1:3">
      <c r="A234">
        <f>Ubicaciones!A222</f>
        <v>0</v>
      </c>
      <c r="B234" t="str">
        <f>IF(A234="","",IF(COUNTIF(Indicadores!$A$2:$A$501,A234)=0,"FALTA","OK"))</f>
        <v>FALTA</v>
      </c>
      <c r="C234" t="str">
        <f>IF(A234="","",IF(COUNTIF(Ubicaciones!$A$2:$A$501,A234)&gt;1,"DUPLICADO","OK"))</f>
        <v>OK</v>
      </c>
    </row>
    <row r="235" spans="1:3">
      <c r="A235">
        <f>Ubicaciones!A223</f>
        <v>0</v>
      </c>
      <c r="B235" t="str">
        <f>IF(A235="","",IF(COUNTIF(Indicadores!$A$2:$A$501,A235)=0,"FALTA","OK"))</f>
        <v>FALTA</v>
      </c>
      <c r="C235" t="str">
        <f>IF(A235="","",IF(COUNTIF(Ubicaciones!$A$2:$A$501,A235)&gt;1,"DUPLICADO","OK"))</f>
        <v>OK</v>
      </c>
    </row>
    <row r="236" spans="1:3">
      <c r="A236">
        <f>Ubicaciones!A224</f>
        <v>0</v>
      </c>
      <c r="B236" t="str">
        <f>IF(A236="","",IF(COUNTIF(Indicadores!$A$2:$A$501,A236)=0,"FALTA","OK"))</f>
        <v>FALTA</v>
      </c>
      <c r="C236" t="str">
        <f>IF(A236="","",IF(COUNTIF(Ubicaciones!$A$2:$A$501,A236)&gt;1,"DUPLICADO","OK"))</f>
        <v>OK</v>
      </c>
    </row>
    <row r="237" spans="1:3">
      <c r="A237">
        <f>Ubicaciones!A225</f>
        <v>0</v>
      </c>
      <c r="B237" t="str">
        <f>IF(A237="","",IF(COUNTIF(Indicadores!$A$2:$A$501,A237)=0,"FALTA","OK"))</f>
        <v>FALTA</v>
      </c>
      <c r="C237" t="str">
        <f>IF(A237="","",IF(COUNTIF(Ubicaciones!$A$2:$A$501,A237)&gt;1,"DUPLICADO","OK"))</f>
        <v>OK</v>
      </c>
    </row>
    <row r="238" spans="1:3">
      <c r="A238">
        <f>Ubicaciones!A226</f>
        <v>0</v>
      </c>
      <c r="B238" t="str">
        <f>IF(A238="","",IF(COUNTIF(Indicadores!$A$2:$A$501,A238)=0,"FALTA","OK"))</f>
        <v>FALTA</v>
      </c>
      <c r="C238" t="str">
        <f>IF(A238="","",IF(COUNTIF(Ubicaciones!$A$2:$A$501,A238)&gt;1,"DUPLICADO","OK"))</f>
        <v>OK</v>
      </c>
    </row>
    <row r="239" spans="1:3">
      <c r="A239">
        <f>Ubicaciones!A227</f>
        <v>0</v>
      </c>
      <c r="B239" t="str">
        <f>IF(A239="","",IF(COUNTIF(Indicadores!$A$2:$A$501,A239)=0,"FALTA","OK"))</f>
        <v>FALTA</v>
      </c>
      <c r="C239" t="str">
        <f>IF(A239="","",IF(COUNTIF(Ubicaciones!$A$2:$A$501,A239)&gt;1,"DUPLICADO","OK"))</f>
        <v>OK</v>
      </c>
    </row>
    <row r="240" spans="1:3">
      <c r="A240">
        <f>Ubicaciones!A228</f>
        <v>0</v>
      </c>
      <c r="B240" t="str">
        <f>IF(A240="","",IF(COUNTIF(Indicadores!$A$2:$A$501,A240)=0,"FALTA","OK"))</f>
        <v>FALTA</v>
      </c>
      <c r="C240" t="str">
        <f>IF(A240="","",IF(COUNTIF(Ubicaciones!$A$2:$A$501,A240)&gt;1,"DUPLICADO","OK"))</f>
        <v>OK</v>
      </c>
    </row>
    <row r="241" spans="1:3">
      <c r="A241">
        <f>Ubicaciones!A229</f>
        <v>0</v>
      </c>
      <c r="B241" t="str">
        <f>IF(A241="","",IF(COUNTIF(Indicadores!$A$2:$A$501,A241)=0,"FALTA","OK"))</f>
        <v>FALTA</v>
      </c>
      <c r="C241" t="str">
        <f>IF(A241="","",IF(COUNTIF(Ubicaciones!$A$2:$A$501,A241)&gt;1,"DUPLICADO","OK"))</f>
        <v>OK</v>
      </c>
    </row>
    <row r="242" spans="1:3">
      <c r="A242">
        <f>Ubicaciones!A230</f>
        <v>0</v>
      </c>
      <c r="B242" t="str">
        <f>IF(A242="","",IF(COUNTIF(Indicadores!$A$2:$A$501,A242)=0,"FALTA","OK"))</f>
        <v>FALTA</v>
      </c>
      <c r="C242" t="str">
        <f>IF(A242="","",IF(COUNTIF(Ubicaciones!$A$2:$A$501,A242)&gt;1,"DUPLICADO","OK"))</f>
        <v>OK</v>
      </c>
    </row>
    <row r="243" spans="1:3">
      <c r="A243">
        <f>Ubicaciones!A231</f>
        <v>0</v>
      </c>
      <c r="B243" t="str">
        <f>IF(A243="","",IF(COUNTIF(Indicadores!$A$2:$A$501,A243)=0,"FALTA","OK"))</f>
        <v>FALTA</v>
      </c>
      <c r="C243" t="str">
        <f>IF(A243="","",IF(COUNTIF(Ubicaciones!$A$2:$A$501,A243)&gt;1,"DUPLICADO","OK"))</f>
        <v>OK</v>
      </c>
    </row>
    <row r="244" spans="1:3">
      <c r="A244">
        <f>Ubicaciones!A232</f>
        <v>0</v>
      </c>
      <c r="B244" t="str">
        <f>IF(A244="","",IF(COUNTIF(Indicadores!$A$2:$A$501,A244)=0,"FALTA","OK"))</f>
        <v>FALTA</v>
      </c>
      <c r="C244" t="str">
        <f>IF(A244="","",IF(COUNTIF(Ubicaciones!$A$2:$A$501,A244)&gt;1,"DUPLICADO","OK"))</f>
        <v>OK</v>
      </c>
    </row>
    <row r="245" spans="1:3">
      <c r="A245">
        <f>Ubicaciones!A233</f>
        <v>0</v>
      </c>
      <c r="B245" t="str">
        <f>IF(A245="","",IF(COUNTIF(Indicadores!$A$2:$A$501,A245)=0,"FALTA","OK"))</f>
        <v>FALTA</v>
      </c>
      <c r="C245" t="str">
        <f>IF(A245="","",IF(COUNTIF(Ubicaciones!$A$2:$A$501,A245)&gt;1,"DUPLICADO","OK"))</f>
        <v>OK</v>
      </c>
    </row>
    <row r="246" spans="1:3">
      <c r="A246">
        <f>Ubicaciones!A234</f>
        <v>0</v>
      </c>
      <c r="B246" t="str">
        <f>IF(A246="","",IF(COUNTIF(Indicadores!$A$2:$A$501,A246)=0,"FALTA","OK"))</f>
        <v>FALTA</v>
      </c>
      <c r="C246" t="str">
        <f>IF(A246="","",IF(COUNTIF(Ubicaciones!$A$2:$A$501,A246)&gt;1,"DUPLICADO","OK"))</f>
        <v>OK</v>
      </c>
    </row>
    <row r="247" spans="1:3">
      <c r="A247">
        <f>Ubicaciones!A235</f>
        <v>0</v>
      </c>
      <c r="B247" t="str">
        <f>IF(A247="","",IF(COUNTIF(Indicadores!$A$2:$A$501,A247)=0,"FALTA","OK"))</f>
        <v>FALTA</v>
      </c>
      <c r="C247" t="str">
        <f>IF(A247="","",IF(COUNTIF(Ubicaciones!$A$2:$A$501,A247)&gt;1,"DUPLICADO","OK"))</f>
        <v>OK</v>
      </c>
    </row>
    <row r="248" spans="1:3">
      <c r="A248">
        <f>Ubicaciones!A236</f>
        <v>0</v>
      </c>
      <c r="B248" t="str">
        <f>IF(A248="","",IF(COUNTIF(Indicadores!$A$2:$A$501,A248)=0,"FALTA","OK"))</f>
        <v>FALTA</v>
      </c>
      <c r="C248" t="str">
        <f>IF(A248="","",IF(COUNTIF(Ubicaciones!$A$2:$A$501,A248)&gt;1,"DUPLICADO","OK"))</f>
        <v>OK</v>
      </c>
    </row>
    <row r="249" spans="1:3">
      <c r="A249">
        <f>Ubicaciones!A237</f>
        <v>0</v>
      </c>
      <c r="B249" t="str">
        <f>IF(A249="","",IF(COUNTIF(Indicadores!$A$2:$A$501,A249)=0,"FALTA","OK"))</f>
        <v>FALTA</v>
      </c>
      <c r="C249" t="str">
        <f>IF(A249="","",IF(COUNTIF(Ubicaciones!$A$2:$A$501,A249)&gt;1,"DUPLICADO","OK"))</f>
        <v>OK</v>
      </c>
    </row>
    <row r="250" spans="1:3">
      <c r="A250">
        <f>Ubicaciones!A238</f>
        <v>0</v>
      </c>
      <c r="B250" t="str">
        <f>IF(A250="","",IF(COUNTIF(Indicadores!$A$2:$A$501,A250)=0,"FALTA","OK"))</f>
        <v>FALTA</v>
      </c>
      <c r="C250" t="str">
        <f>IF(A250="","",IF(COUNTIF(Ubicaciones!$A$2:$A$501,A250)&gt;1,"DUPLICADO","OK"))</f>
        <v>OK</v>
      </c>
    </row>
    <row r="251" spans="1:3">
      <c r="A251">
        <f>Ubicaciones!A239</f>
        <v>0</v>
      </c>
      <c r="B251" t="str">
        <f>IF(A251="","",IF(COUNTIF(Indicadores!$A$2:$A$501,A251)=0,"FALTA","OK"))</f>
        <v>FALTA</v>
      </c>
      <c r="C251" t="str">
        <f>IF(A251="","",IF(COUNTIF(Ubicaciones!$A$2:$A$501,A251)&gt;1,"DUPLICADO","OK"))</f>
        <v>OK</v>
      </c>
    </row>
    <row r="252" spans="1:3">
      <c r="A252">
        <f>Ubicaciones!A240</f>
        <v>0</v>
      </c>
      <c r="B252" t="str">
        <f>IF(A252="","",IF(COUNTIF(Indicadores!$A$2:$A$501,A252)=0,"FALTA","OK"))</f>
        <v>FALTA</v>
      </c>
      <c r="C252" t="str">
        <f>IF(A252="","",IF(COUNTIF(Ubicaciones!$A$2:$A$501,A252)&gt;1,"DUPLICADO","OK"))</f>
        <v>OK</v>
      </c>
    </row>
    <row r="253" spans="1:3">
      <c r="A253">
        <f>Ubicaciones!A241</f>
        <v>0</v>
      </c>
      <c r="B253" t="str">
        <f>IF(A253="","",IF(COUNTIF(Indicadores!$A$2:$A$501,A253)=0,"FALTA","OK"))</f>
        <v>FALTA</v>
      </c>
      <c r="C253" t="str">
        <f>IF(A253="","",IF(COUNTIF(Ubicaciones!$A$2:$A$501,A253)&gt;1,"DUPLICADO","OK"))</f>
        <v>OK</v>
      </c>
    </row>
    <row r="254" spans="1:3">
      <c r="A254">
        <f>Ubicaciones!A242</f>
        <v>0</v>
      </c>
      <c r="B254" t="str">
        <f>IF(A254="","",IF(COUNTIF(Indicadores!$A$2:$A$501,A254)=0,"FALTA","OK"))</f>
        <v>FALTA</v>
      </c>
      <c r="C254" t="str">
        <f>IF(A254="","",IF(COUNTIF(Ubicaciones!$A$2:$A$501,A254)&gt;1,"DUPLICADO","OK"))</f>
        <v>OK</v>
      </c>
    </row>
    <row r="255" spans="1:3">
      <c r="A255">
        <f>Ubicaciones!A243</f>
        <v>0</v>
      </c>
      <c r="B255" t="str">
        <f>IF(A255="","",IF(COUNTIF(Indicadores!$A$2:$A$501,A255)=0,"FALTA","OK"))</f>
        <v>FALTA</v>
      </c>
      <c r="C255" t="str">
        <f>IF(A255="","",IF(COUNTIF(Ubicaciones!$A$2:$A$501,A255)&gt;1,"DUPLICADO","OK"))</f>
        <v>OK</v>
      </c>
    </row>
    <row r="256" spans="1:3">
      <c r="A256">
        <f>Ubicaciones!A244</f>
        <v>0</v>
      </c>
      <c r="B256" t="str">
        <f>IF(A256="","",IF(COUNTIF(Indicadores!$A$2:$A$501,A256)=0,"FALTA","OK"))</f>
        <v>FALTA</v>
      </c>
      <c r="C256" t="str">
        <f>IF(A256="","",IF(COUNTIF(Ubicaciones!$A$2:$A$501,A256)&gt;1,"DUPLICADO","OK"))</f>
        <v>OK</v>
      </c>
    </row>
    <row r="257" spans="1:3">
      <c r="A257">
        <f>Ubicaciones!A245</f>
        <v>0</v>
      </c>
      <c r="B257" t="str">
        <f>IF(A257="","",IF(COUNTIF(Indicadores!$A$2:$A$501,A257)=0,"FALTA","OK"))</f>
        <v>FALTA</v>
      </c>
      <c r="C257" t="str">
        <f>IF(A257="","",IF(COUNTIF(Ubicaciones!$A$2:$A$501,A257)&gt;1,"DUPLICADO","OK"))</f>
        <v>OK</v>
      </c>
    </row>
    <row r="258" spans="1:3">
      <c r="A258">
        <f>Ubicaciones!A246</f>
        <v>0</v>
      </c>
      <c r="B258" t="str">
        <f>IF(A258="","",IF(COUNTIF(Indicadores!$A$2:$A$501,A258)=0,"FALTA","OK"))</f>
        <v>FALTA</v>
      </c>
      <c r="C258" t="str">
        <f>IF(A258="","",IF(COUNTIF(Ubicaciones!$A$2:$A$501,A258)&gt;1,"DUPLICADO","OK"))</f>
        <v>OK</v>
      </c>
    </row>
    <row r="259" spans="1:3">
      <c r="A259">
        <f>Ubicaciones!A247</f>
        <v>0</v>
      </c>
      <c r="B259" t="str">
        <f>IF(A259="","",IF(COUNTIF(Indicadores!$A$2:$A$501,A259)=0,"FALTA","OK"))</f>
        <v>FALTA</v>
      </c>
      <c r="C259" t="str">
        <f>IF(A259="","",IF(COUNTIF(Ubicaciones!$A$2:$A$501,A259)&gt;1,"DUPLICADO","OK"))</f>
        <v>OK</v>
      </c>
    </row>
    <row r="260" spans="1:3">
      <c r="A260">
        <f>Ubicaciones!A248</f>
        <v>0</v>
      </c>
      <c r="B260" t="str">
        <f>IF(A260="","",IF(COUNTIF(Indicadores!$A$2:$A$501,A260)=0,"FALTA","OK"))</f>
        <v>FALTA</v>
      </c>
      <c r="C260" t="str">
        <f>IF(A260="","",IF(COUNTIF(Ubicaciones!$A$2:$A$501,A260)&gt;1,"DUPLICADO","OK"))</f>
        <v>OK</v>
      </c>
    </row>
    <row r="261" spans="1:3">
      <c r="A261">
        <f>Ubicaciones!A249</f>
        <v>0</v>
      </c>
      <c r="B261" t="str">
        <f>IF(A261="","",IF(COUNTIF(Indicadores!$A$2:$A$501,A261)=0,"FALTA","OK"))</f>
        <v>FALTA</v>
      </c>
      <c r="C261" t="str">
        <f>IF(A261="","",IF(COUNTIF(Ubicaciones!$A$2:$A$501,A261)&gt;1,"DUPLICADO","OK"))</f>
        <v>OK</v>
      </c>
    </row>
    <row r="262" spans="1:3">
      <c r="A262">
        <f>Ubicaciones!A250</f>
        <v>0</v>
      </c>
      <c r="B262" t="str">
        <f>IF(A262="","",IF(COUNTIF(Indicadores!$A$2:$A$501,A262)=0,"FALTA","OK"))</f>
        <v>FALTA</v>
      </c>
      <c r="C262" t="str">
        <f>IF(A262="","",IF(COUNTIF(Ubicaciones!$A$2:$A$501,A262)&gt;1,"DUPLICADO","OK"))</f>
        <v>OK</v>
      </c>
    </row>
    <row r="263" spans="1:3">
      <c r="A263">
        <f>Ubicaciones!A251</f>
        <v>0</v>
      </c>
      <c r="B263" t="str">
        <f>IF(A263="","",IF(COUNTIF(Indicadores!$A$2:$A$501,A263)=0,"FALTA","OK"))</f>
        <v>FALTA</v>
      </c>
      <c r="C263" t="str">
        <f>IF(A263="","",IF(COUNTIF(Ubicaciones!$A$2:$A$501,A263)&gt;1,"DUPLICADO","OK"))</f>
        <v>OK</v>
      </c>
    </row>
    <row r="264" spans="1:3">
      <c r="A264">
        <f>Ubicaciones!A252</f>
        <v>0</v>
      </c>
      <c r="B264" t="str">
        <f>IF(A264="","",IF(COUNTIF(Indicadores!$A$2:$A$501,A264)=0,"FALTA","OK"))</f>
        <v>FALTA</v>
      </c>
      <c r="C264" t="str">
        <f>IF(A264="","",IF(COUNTIF(Ubicaciones!$A$2:$A$501,A264)&gt;1,"DUPLICADO","OK"))</f>
        <v>OK</v>
      </c>
    </row>
    <row r="265" spans="1:3">
      <c r="A265">
        <f>Ubicaciones!A253</f>
        <v>0</v>
      </c>
      <c r="B265" t="str">
        <f>IF(A265="","",IF(COUNTIF(Indicadores!$A$2:$A$501,A265)=0,"FALTA","OK"))</f>
        <v>FALTA</v>
      </c>
      <c r="C265" t="str">
        <f>IF(A265="","",IF(COUNTIF(Ubicaciones!$A$2:$A$501,A265)&gt;1,"DUPLICADO","OK"))</f>
        <v>OK</v>
      </c>
    </row>
    <row r="266" spans="1:3">
      <c r="A266">
        <f>Ubicaciones!A254</f>
        <v>0</v>
      </c>
      <c r="B266" t="str">
        <f>IF(A266="","",IF(COUNTIF(Indicadores!$A$2:$A$501,A266)=0,"FALTA","OK"))</f>
        <v>FALTA</v>
      </c>
      <c r="C266" t="str">
        <f>IF(A266="","",IF(COUNTIF(Ubicaciones!$A$2:$A$501,A266)&gt;1,"DUPLICADO","OK"))</f>
        <v>OK</v>
      </c>
    </row>
    <row r="267" spans="1:3">
      <c r="A267">
        <f>Ubicaciones!A255</f>
        <v>0</v>
      </c>
      <c r="B267" t="str">
        <f>IF(A267="","",IF(COUNTIF(Indicadores!$A$2:$A$501,A267)=0,"FALTA","OK"))</f>
        <v>FALTA</v>
      </c>
      <c r="C267" t="str">
        <f>IF(A267="","",IF(COUNTIF(Ubicaciones!$A$2:$A$501,A267)&gt;1,"DUPLICADO","OK"))</f>
        <v>OK</v>
      </c>
    </row>
    <row r="268" spans="1:3">
      <c r="A268">
        <f>Ubicaciones!A256</f>
        <v>0</v>
      </c>
      <c r="B268" t="str">
        <f>IF(A268="","",IF(COUNTIF(Indicadores!$A$2:$A$501,A268)=0,"FALTA","OK"))</f>
        <v>FALTA</v>
      </c>
      <c r="C268" t="str">
        <f>IF(A268="","",IF(COUNTIF(Ubicaciones!$A$2:$A$501,A268)&gt;1,"DUPLICADO","OK"))</f>
        <v>OK</v>
      </c>
    </row>
    <row r="269" spans="1:3">
      <c r="A269">
        <f>Ubicaciones!A257</f>
        <v>0</v>
      </c>
      <c r="B269" t="str">
        <f>IF(A269="","",IF(COUNTIF(Indicadores!$A$2:$A$501,A269)=0,"FALTA","OK"))</f>
        <v>FALTA</v>
      </c>
      <c r="C269" t="str">
        <f>IF(A269="","",IF(COUNTIF(Ubicaciones!$A$2:$A$501,A269)&gt;1,"DUPLICADO","OK"))</f>
        <v>OK</v>
      </c>
    </row>
    <row r="270" spans="1:3">
      <c r="A270">
        <f>Ubicaciones!A258</f>
        <v>0</v>
      </c>
      <c r="B270" t="str">
        <f>IF(A270="","",IF(COUNTIF(Indicadores!$A$2:$A$501,A270)=0,"FALTA","OK"))</f>
        <v>FALTA</v>
      </c>
      <c r="C270" t="str">
        <f>IF(A270="","",IF(COUNTIF(Ubicaciones!$A$2:$A$501,A270)&gt;1,"DUPLICADO","OK"))</f>
        <v>OK</v>
      </c>
    </row>
    <row r="271" spans="1:3">
      <c r="A271">
        <f>Ubicaciones!A259</f>
        <v>0</v>
      </c>
      <c r="B271" t="str">
        <f>IF(A271="","",IF(COUNTIF(Indicadores!$A$2:$A$501,A271)=0,"FALTA","OK"))</f>
        <v>FALTA</v>
      </c>
      <c r="C271" t="str">
        <f>IF(A271="","",IF(COUNTIF(Ubicaciones!$A$2:$A$501,A271)&gt;1,"DUPLICADO","OK"))</f>
        <v>OK</v>
      </c>
    </row>
    <row r="272" spans="1:3">
      <c r="A272">
        <f>Ubicaciones!A260</f>
        <v>0</v>
      </c>
      <c r="B272" t="str">
        <f>IF(A272="","",IF(COUNTIF(Indicadores!$A$2:$A$501,A272)=0,"FALTA","OK"))</f>
        <v>FALTA</v>
      </c>
      <c r="C272" t="str">
        <f>IF(A272="","",IF(COUNTIF(Ubicaciones!$A$2:$A$501,A272)&gt;1,"DUPLICADO","OK"))</f>
        <v>OK</v>
      </c>
    </row>
    <row r="273" spans="1:3">
      <c r="A273">
        <f>Ubicaciones!A261</f>
        <v>0</v>
      </c>
      <c r="B273" t="str">
        <f>IF(A273="","",IF(COUNTIF(Indicadores!$A$2:$A$501,A273)=0,"FALTA","OK"))</f>
        <v>FALTA</v>
      </c>
      <c r="C273" t="str">
        <f>IF(A273="","",IF(COUNTIF(Ubicaciones!$A$2:$A$501,A273)&gt;1,"DUPLICADO","OK"))</f>
        <v>OK</v>
      </c>
    </row>
    <row r="274" spans="1:3">
      <c r="A274">
        <f>Ubicaciones!A262</f>
        <v>0</v>
      </c>
      <c r="B274" t="str">
        <f>IF(A274="","",IF(COUNTIF(Indicadores!$A$2:$A$501,A274)=0,"FALTA","OK"))</f>
        <v>FALTA</v>
      </c>
      <c r="C274" t="str">
        <f>IF(A274="","",IF(COUNTIF(Ubicaciones!$A$2:$A$501,A274)&gt;1,"DUPLICADO","OK"))</f>
        <v>OK</v>
      </c>
    </row>
    <row r="275" spans="1:3">
      <c r="A275">
        <f>Ubicaciones!A263</f>
        <v>0</v>
      </c>
      <c r="B275" t="str">
        <f>IF(A275="","",IF(COUNTIF(Indicadores!$A$2:$A$501,A275)=0,"FALTA","OK"))</f>
        <v>FALTA</v>
      </c>
      <c r="C275" t="str">
        <f>IF(A275="","",IF(COUNTIF(Ubicaciones!$A$2:$A$501,A275)&gt;1,"DUPLICADO","OK"))</f>
        <v>OK</v>
      </c>
    </row>
    <row r="276" spans="1:3">
      <c r="A276">
        <f>Ubicaciones!A264</f>
        <v>0</v>
      </c>
      <c r="B276" t="str">
        <f>IF(A276="","",IF(COUNTIF(Indicadores!$A$2:$A$501,A276)=0,"FALTA","OK"))</f>
        <v>FALTA</v>
      </c>
      <c r="C276" t="str">
        <f>IF(A276="","",IF(COUNTIF(Ubicaciones!$A$2:$A$501,A276)&gt;1,"DUPLICADO","OK"))</f>
        <v>OK</v>
      </c>
    </row>
    <row r="277" spans="1:3">
      <c r="A277">
        <f>Ubicaciones!A265</f>
        <v>0</v>
      </c>
      <c r="B277" t="str">
        <f>IF(A277="","",IF(COUNTIF(Indicadores!$A$2:$A$501,A277)=0,"FALTA","OK"))</f>
        <v>FALTA</v>
      </c>
      <c r="C277" t="str">
        <f>IF(A277="","",IF(COUNTIF(Ubicaciones!$A$2:$A$501,A277)&gt;1,"DUPLICADO","OK"))</f>
        <v>OK</v>
      </c>
    </row>
    <row r="278" spans="1:3">
      <c r="A278">
        <f>Ubicaciones!A266</f>
        <v>0</v>
      </c>
      <c r="B278" t="str">
        <f>IF(A278="","",IF(COUNTIF(Indicadores!$A$2:$A$501,A278)=0,"FALTA","OK"))</f>
        <v>FALTA</v>
      </c>
      <c r="C278" t="str">
        <f>IF(A278="","",IF(COUNTIF(Ubicaciones!$A$2:$A$501,A278)&gt;1,"DUPLICADO","OK"))</f>
        <v>OK</v>
      </c>
    </row>
    <row r="279" spans="1:3">
      <c r="A279">
        <f>Ubicaciones!A267</f>
        <v>0</v>
      </c>
      <c r="B279" t="str">
        <f>IF(A279="","",IF(COUNTIF(Indicadores!$A$2:$A$501,A279)=0,"FALTA","OK"))</f>
        <v>FALTA</v>
      </c>
      <c r="C279" t="str">
        <f>IF(A279="","",IF(COUNTIF(Ubicaciones!$A$2:$A$501,A279)&gt;1,"DUPLICADO","OK"))</f>
        <v>OK</v>
      </c>
    </row>
    <row r="280" spans="1:3">
      <c r="A280">
        <f>Ubicaciones!A268</f>
        <v>0</v>
      </c>
      <c r="B280" t="str">
        <f>IF(A280="","",IF(COUNTIF(Indicadores!$A$2:$A$501,A280)=0,"FALTA","OK"))</f>
        <v>FALTA</v>
      </c>
      <c r="C280" t="str">
        <f>IF(A280="","",IF(COUNTIF(Ubicaciones!$A$2:$A$501,A280)&gt;1,"DUPLICADO","OK"))</f>
        <v>OK</v>
      </c>
    </row>
    <row r="281" spans="1:3">
      <c r="A281">
        <f>Ubicaciones!A269</f>
        <v>0</v>
      </c>
      <c r="B281" t="str">
        <f>IF(A281="","",IF(COUNTIF(Indicadores!$A$2:$A$501,A281)=0,"FALTA","OK"))</f>
        <v>FALTA</v>
      </c>
      <c r="C281" t="str">
        <f>IF(A281="","",IF(COUNTIF(Ubicaciones!$A$2:$A$501,A281)&gt;1,"DUPLICADO","OK"))</f>
        <v>OK</v>
      </c>
    </row>
    <row r="282" spans="1:3">
      <c r="A282">
        <f>Ubicaciones!A270</f>
        <v>0</v>
      </c>
      <c r="B282" t="str">
        <f>IF(A282="","",IF(COUNTIF(Indicadores!$A$2:$A$501,A282)=0,"FALTA","OK"))</f>
        <v>FALTA</v>
      </c>
      <c r="C282" t="str">
        <f>IF(A282="","",IF(COUNTIF(Ubicaciones!$A$2:$A$501,A282)&gt;1,"DUPLICADO","OK"))</f>
        <v>OK</v>
      </c>
    </row>
    <row r="283" spans="1:3">
      <c r="A283">
        <f>Ubicaciones!A271</f>
        <v>0</v>
      </c>
      <c r="B283" t="str">
        <f>IF(A283="","",IF(COUNTIF(Indicadores!$A$2:$A$501,A283)=0,"FALTA","OK"))</f>
        <v>FALTA</v>
      </c>
      <c r="C283" t="str">
        <f>IF(A283="","",IF(COUNTIF(Ubicaciones!$A$2:$A$501,A283)&gt;1,"DUPLICADO","OK"))</f>
        <v>OK</v>
      </c>
    </row>
    <row r="284" spans="1:3">
      <c r="A284">
        <f>Ubicaciones!A272</f>
        <v>0</v>
      </c>
      <c r="B284" t="str">
        <f>IF(A284="","",IF(COUNTIF(Indicadores!$A$2:$A$501,A284)=0,"FALTA","OK"))</f>
        <v>FALTA</v>
      </c>
      <c r="C284" t="str">
        <f>IF(A284="","",IF(COUNTIF(Ubicaciones!$A$2:$A$501,A284)&gt;1,"DUPLICADO","OK"))</f>
        <v>OK</v>
      </c>
    </row>
    <row r="285" spans="1:3">
      <c r="A285">
        <f>Ubicaciones!A273</f>
        <v>0</v>
      </c>
      <c r="B285" t="str">
        <f>IF(A285="","",IF(COUNTIF(Indicadores!$A$2:$A$501,A285)=0,"FALTA","OK"))</f>
        <v>FALTA</v>
      </c>
      <c r="C285" t="str">
        <f>IF(A285="","",IF(COUNTIF(Ubicaciones!$A$2:$A$501,A285)&gt;1,"DUPLICADO","OK"))</f>
        <v>OK</v>
      </c>
    </row>
    <row r="286" spans="1:3">
      <c r="A286">
        <f>Ubicaciones!A274</f>
        <v>0</v>
      </c>
      <c r="B286" t="str">
        <f>IF(A286="","",IF(COUNTIF(Indicadores!$A$2:$A$501,A286)=0,"FALTA","OK"))</f>
        <v>FALTA</v>
      </c>
      <c r="C286" t="str">
        <f>IF(A286="","",IF(COUNTIF(Ubicaciones!$A$2:$A$501,A286)&gt;1,"DUPLICADO","OK"))</f>
        <v>OK</v>
      </c>
    </row>
    <row r="287" spans="1:3">
      <c r="A287">
        <f>Ubicaciones!A275</f>
        <v>0</v>
      </c>
      <c r="B287" t="str">
        <f>IF(A287="","",IF(COUNTIF(Indicadores!$A$2:$A$501,A287)=0,"FALTA","OK"))</f>
        <v>FALTA</v>
      </c>
      <c r="C287" t="str">
        <f>IF(A287="","",IF(COUNTIF(Ubicaciones!$A$2:$A$501,A287)&gt;1,"DUPLICADO","OK"))</f>
        <v>OK</v>
      </c>
    </row>
    <row r="288" spans="1:3">
      <c r="A288">
        <f>Ubicaciones!A276</f>
        <v>0</v>
      </c>
      <c r="B288" t="str">
        <f>IF(A288="","",IF(COUNTIF(Indicadores!$A$2:$A$501,A288)=0,"FALTA","OK"))</f>
        <v>FALTA</v>
      </c>
      <c r="C288" t="str">
        <f>IF(A288="","",IF(COUNTIF(Ubicaciones!$A$2:$A$501,A288)&gt;1,"DUPLICADO","OK"))</f>
        <v>OK</v>
      </c>
    </row>
    <row r="289" spans="1:3">
      <c r="A289">
        <f>Ubicaciones!A277</f>
        <v>0</v>
      </c>
      <c r="B289" t="str">
        <f>IF(A289="","",IF(COUNTIF(Indicadores!$A$2:$A$501,A289)=0,"FALTA","OK"))</f>
        <v>FALTA</v>
      </c>
      <c r="C289" t="str">
        <f>IF(A289="","",IF(COUNTIF(Ubicaciones!$A$2:$A$501,A289)&gt;1,"DUPLICADO","OK"))</f>
        <v>OK</v>
      </c>
    </row>
    <row r="290" spans="1:3">
      <c r="A290">
        <f>Ubicaciones!A278</f>
        <v>0</v>
      </c>
      <c r="B290" t="str">
        <f>IF(A290="","",IF(COUNTIF(Indicadores!$A$2:$A$501,A290)=0,"FALTA","OK"))</f>
        <v>FALTA</v>
      </c>
      <c r="C290" t="str">
        <f>IF(A290="","",IF(COUNTIF(Ubicaciones!$A$2:$A$501,A290)&gt;1,"DUPLICADO","OK"))</f>
        <v>OK</v>
      </c>
    </row>
    <row r="291" spans="1:3">
      <c r="A291">
        <f>Ubicaciones!A279</f>
        <v>0</v>
      </c>
      <c r="B291" t="str">
        <f>IF(A291="","",IF(COUNTIF(Indicadores!$A$2:$A$501,A291)=0,"FALTA","OK"))</f>
        <v>FALTA</v>
      </c>
      <c r="C291" t="str">
        <f>IF(A291="","",IF(COUNTIF(Ubicaciones!$A$2:$A$501,A291)&gt;1,"DUPLICADO","OK"))</f>
        <v>OK</v>
      </c>
    </row>
    <row r="292" spans="1:3">
      <c r="A292">
        <f>Ubicaciones!A280</f>
        <v>0</v>
      </c>
      <c r="B292" t="str">
        <f>IF(A292="","",IF(COUNTIF(Indicadores!$A$2:$A$501,A292)=0,"FALTA","OK"))</f>
        <v>FALTA</v>
      </c>
      <c r="C292" t="str">
        <f>IF(A292="","",IF(COUNTIF(Ubicaciones!$A$2:$A$501,A292)&gt;1,"DUPLICADO","OK"))</f>
        <v>OK</v>
      </c>
    </row>
    <row r="293" spans="1:3">
      <c r="A293">
        <f>Ubicaciones!A281</f>
        <v>0</v>
      </c>
      <c r="B293" t="str">
        <f>IF(A293="","",IF(COUNTIF(Indicadores!$A$2:$A$501,A293)=0,"FALTA","OK"))</f>
        <v>FALTA</v>
      </c>
      <c r="C293" t="str">
        <f>IF(A293="","",IF(COUNTIF(Ubicaciones!$A$2:$A$501,A293)&gt;1,"DUPLICADO","OK"))</f>
        <v>OK</v>
      </c>
    </row>
    <row r="294" spans="1:3">
      <c r="A294">
        <f>Ubicaciones!A282</f>
        <v>0</v>
      </c>
      <c r="B294" t="str">
        <f>IF(A294="","",IF(COUNTIF(Indicadores!$A$2:$A$501,A294)=0,"FALTA","OK"))</f>
        <v>FALTA</v>
      </c>
      <c r="C294" t="str">
        <f>IF(A294="","",IF(COUNTIF(Ubicaciones!$A$2:$A$501,A294)&gt;1,"DUPLICADO","OK"))</f>
        <v>OK</v>
      </c>
    </row>
    <row r="295" spans="1:3">
      <c r="A295">
        <f>Ubicaciones!A283</f>
        <v>0</v>
      </c>
      <c r="B295" t="str">
        <f>IF(A295="","",IF(COUNTIF(Indicadores!$A$2:$A$501,A295)=0,"FALTA","OK"))</f>
        <v>FALTA</v>
      </c>
      <c r="C295" t="str">
        <f>IF(A295="","",IF(COUNTIF(Ubicaciones!$A$2:$A$501,A295)&gt;1,"DUPLICADO","OK"))</f>
        <v>OK</v>
      </c>
    </row>
    <row r="296" spans="1:3">
      <c r="A296">
        <f>Ubicaciones!A284</f>
        <v>0</v>
      </c>
      <c r="B296" t="str">
        <f>IF(A296="","",IF(COUNTIF(Indicadores!$A$2:$A$501,A296)=0,"FALTA","OK"))</f>
        <v>FALTA</v>
      </c>
      <c r="C296" t="str">
        <f>IF(A296="","",IF(COUNTIF(Ubicaciones!$A$2:$A$501,A296)&gt;1,"DUPLICADO","OK"))</f>
        <v>OK</v>
      </c>
    </row>
    <row r="297" spans="1:3">
      <c r="A297">
        <f>Ubicaciones!A285</f>
        <v>0</v>
      </c>
      <c r="B297" t="str">
        <f>IF(A297="","",IF(COUNTIF(Indicadores!$A$2:$A$501,A297)=0,"FALTA","OK"))</f>
        <v>FALTA</v>
      </c>
      <c r="C297" t="str">
        <f>IF(A297="","",IF(COUNTIF(Ubicaciones!$A$2:$A$501,A297)&gt;1,"DUPLICADO","OK"))</f>
        <v>OK</v>
      </c>
    </row>
    <row r="298" spans="1:3">
      <c r="A298">
        <f>Ubicaciones!A286</f>
        <v>0</v>
      </c>
      <c r="B298" t="str">
        <f>IF(A298="","",IF(COUNTIF(Indicadores!$A$2:$A$501,A298)=0,"FALTA","OK"))</f>
        <v>FALTA</v>
      </c>
      <c r="C298" t="str">
        <f>IF(A298="","",IF(COUNTIF(Ubicaciones!$A$2:$A$501,A298)&gt;1,"DUPLICADO","OK"))</f>
        <v>OK</v>
      </c>
    </row>
    <row r="299" spans="1:3">
      <c r="A299">
        <f>Ubicaciones!A287</f>
        <v>0</v>
      </c>
      <c r="B299" t="str">
        <f>IF(A299="","",IF(COUNTIF(Indicadores!$A$2:$A$501,A299)=0,"FALTA","OK"))</f>
        <v>FALTA</v>
      </c>
      <c r="C299" t="str">
        <f>IF(A299="","",IF(COUNTIF(Ubicaciones!$A$2:$A$501,A299)&gt;1,"DUPLICADO","OK"))</f>
        <v>OK</v>
      </c>
    </row>
    <row r="300" spans="1:3">
      <c r="A300">
        <f>Ubicaciones!A288</f>
        <v>0</v>
      </c>
      <c r="B300" t="str">
        <f>IF(A300="","",IF(COUNTIF(Indicadores!$A$2:$A$501,A300)=0,"FALTA","OK"))</f>
        <v>FALTA</v>
      </c>
      <c r="C300" t="str">
        <f>IF(A300="","",IF(COUNTIF(Ubicaciones!$A$2:$A$501,A300)&gt;1,"DUPLICADO","OK"))</f>
        <v>OK</v>
      </c>
    </row>
    <row r="301" spans="1:3">
      <c r="A301">
        <f>Ubicaciones!A289</f>
        <v>0</v>
      </c>
      <c r="B301" t="str">
        <f>IF(A301="","",IF(COUNTIF(Indicadores!$A$2:$A$501,A301)=0,"FALTA","OK"))</f>
        <v>FALTA</v>
      </c>
      <c r="C301" t="str">
        <f>IF(A301="","",IF(COUNTIF(Ubicaciones!$A$2:$A$501,A301)&gt;1,"DUPLICADO","OK"))</f>
        <v>OK</v>
      </c>
    </row>
    <row r="302" spans="1:3">
      <c r="A302">
        <f>Ubicaciones!A290</f>
        <v>0</v>
      </c>
      <c r="B302" t="str">
        <f>IF(A302="","",IF(COUNTIF(Indicadores!$A$2:$A$501,A302)=0,"FALTA","OK"))</f>
        <v>FALTA</v>
      </c>
      <c r="C302" t="str">
        <f>IF(A302="","",IF(COUNTIF(Ubicaciones!$A$2:$A$501,A302)&gt;1,"DUPLICADO","OK"))</f>
        <v>OK</v>
      </c>
    </row>
    <row r="303" spans="1:3">
      <c r="A303">
        <f>Ubicaciones!A291</f>
        <v>0</v>
      </c>
      <c r="B303" t="str">
        <f>IF(A303="","",IF(COUNTIF(Indicadores!$A$2:$A$501,A303)=0,"FALTA","OK"))</f>
        <v>FALTA</v>
      </c>
      <c r="C303" t="str">
        <f>IF(A303="","",IF(COUNTIF(Ubicaciones!$A$2:$A$501,A303)&gt;1,"DUPLICADO","OK"))</f>
        <v>OK</v>
      </c>
    </row>
    <row r="304" spans="1:3">
      <c r="A304">
        <f>Ubicaciones!A292</f>
        <v>0</v>
      </c>
      <c r="B304" t="str">
        <f>IF(A304="","",IF(COUNTIF(Indicadores!$A$2:$A$501,A304)=0,"FALTA","OK"))</f>
        <v>FALTA</v>
      </c>
      <c r="C304" t="str">
        <f>IF(A304="","",IF(COUNTIF(Ubicaciones!$A$2:$A$501,A304)&gt;1,"DUPLICADO","OK"))</f>
        <v>OK</v>
      </c>
    </row>
    <row r="305" spans="1:3">
      <c r="A305">
        <f>Ubicaciones!A293</f>
        <v>0</v>
      </c>
      <c r="B305" t="str">
        <f>IF(A305="","",IF(COUNTIF(Indicadores!$A$2:$A$501,A305)=0,"FALTA","OK"))</f>
        <v>FALTA</v>
      </c>
      <c r="C305" t="str">
        <f>IF(A305="","",IF(COUNTIF(Ubicaciones!$A$2:$A$501,A305)&gt;1,"DUPLICADO","OK"))</f>
        <v>OK</v>
      </c>
    </row>
    <row r="306" spans="1:3">
      <c r="A306">
        <f>Ubicaciones!A294</f>
        <v>0</v>
      </c>
      <c r="B306" t="str">
        <f>IF(A306="","",IF(COUNTIF(Indicadores!$A$2:$A$501,A306)=0,"FALTA","OK"))</f>
        <v>FALTA</v>
      </c>
      <c r="C306" t="str">
        <f>IF(A306="","",IF(COUNTIF(Ubicaciones!$A$2:$A$501,A306)&gt;1,"DUPLICADO","OK"))</f>
        <v>OK</v>
      </c>
    </row>
    <row r="307" spans="1:3">
      <c r="A307">
        <f>Ubicaciones!A295</f>
        <v>0</v>
      </c>
      <c r="B307" t="str">
        <f>IF(A307="","",IF(COUNTIF(Indicadores!$A$2:$A$501,A307)=0,"FALTA","OK"))</f>
        <v>FALTA</v>
      </c>
      <c r="C307" t="str">
        <f>IF(A307="","",IF(COUNTIF(Ubicaciones!$A$2:$A$501,A307)&gt;1,"DUPLICADO","OK"))</f>
        <v>OK</v>
      </c>
    </row>
    <row r="308" spans="1:3">
      <c r="A308">
        <f>Ubicaciones!A296</f>
        <v>0</v>
      </c>
      <c r="B308" t="str">
        <f>IF(A308="","",IF(COUNTIF(Indicadores!$A$2:$A$501,A308)=0,"FALTA","OK"))</f>
        <v>FALTA</v>
      </c>
      <c r="C308" t="str">
        <f>IF(A308="","",IF(COUNTIF(Ubicaciones!$A$2:$A$501,A308)&gt;1,"DUPLICADO","OK"))</f>
        <v>OK</v>
      </c>
    </row>
    <row r="309" spans="1:3">
      <c r="A309">
        <f>Ubicaciones!A297</f>
        <v>0</v>
      </c>
      <c r="B309" t="str">
        <f>IF(A309="","",IF(COUNTIF(Indicadores!$A$2:$A$501,A309)=0,"FALTA","OK"))</f>
        <v>FALTA</v>
      </c>
      <c r="C309" t="str">
        <f>IF(A309="","",IF(COUNTIF(Ubicaciones!$A$2:$A$501,A309)&gt;1,"DUPLICADO","OK"))</f>
        <v>OK</v>
      </c>
    </row>
    <row r="310" spans="1:3">
      <c r="A310">
        <f>Ubicaciones!A298</f>
        <v>0</v>
      </c>
      <c r="B310" t="str">
        <f>IF(A310="","",IF(COUNTIF(Indicadores!$A$2:$A$501,A310)=0,"FALTA","OK"))</f>
        <v>FALTA</v>
      </c>
      <c r="C310" t="str">
        <f>IF(A310="","",IF(COUNTIF(Ubicaciones!$A$2:$A$501,A310)&gt;1,"DUPLICADO","OK"))</f>
        <v>OK</v>
      </c>
    </row>
    <row r="311" spans="1:3">
      <c r="A311">
        <f>Ubicaciones!A299</f>
        <v>0</v>
      </c>
      <c r="B311" t="str">
        <f>IF(A311="","",IF(COUNTIF(Indicadores!$A$2:$A$501,A311)=0,"FALTA","OK"))</f>
        <v>FALTA</v>
      </c>
      <c r="C311" t="str">
        <f>IF(A311="","",IF(COUNTIF(Ubicaciones!$A$2:$A$501,A311)&gt;1,"DUPLICADO","OK"))</f>
        <v>OK</v>
      </c>
    </row>
    <row r="312" spans="1:3">
      <c r="A312">
        <f>Ubicaciones!A300</f>
        <v>0</v>
      </c>
      <c r="B312" t="str">
        <f>IF(A312="","",IF(COUNTIF(Indicadores!$A$2:$A$501,A312)=0,"FALTA","OK"))</f>
        <v>FALTA</v>
      </c>
      <c r="C312" t="str">
        <f>IF(A312="","",IF(COUNTIF(Ubicaciones!$A$2:$A$501,A312)&gt;1,"DUPLICADO","OK"))</f>
        <v>OK</v>
      </c>
    </row>
    <row r="313" spans="1:3">
      <c r="A313">
        <f>Ubicaciones!A301</f>
        <v>0</v>
      </c>
      <c r="B313" t="str">
        <f>IF(A313="","",IF(COUNTIF(Indicadores!$A$2:$A$501,A313)=0,"FALTA","OK"))</f>
        <v>FALTA</v>
      </c>
      <c r="C313" t="str">
        <f>IF(A313="","",IF(COUNTIF(Ubicaciones!$A$2:$A$501,A313)&gt;1,"DUPLICADO","OK"))</f>
        <v>OK</v>
      </c>
    </row>
    <row r="314" spans="1:3">
      <c r="A314">
        <f>Ubicaciones!A302</f>
        <v>0</v>
      </c>
      <c r="B314" t="str">
        <f>IF(A314="","",IF(COUNTIF(Indicadores!$A$2:$A$501,A314)=0,"FALTA","OK"))</f>
        <v>FALTA</v>
      </c>
      <c r="C314" t="str">
        <f>IF(A314="","",IF(COUNTIF(Ubicaciones!$A$2:$A$501,A314)&gt;1,"DUPLICADO","OK"))</f>
        <v>OK</v>
      </c>
    </row>
    <row r="315" spans="1:3">
      <c r="A315">
        <f>Ubicaciones!A303</f>
        <v>0</v>
      </c>
      <c r="B315" t="str">
        <f>IF(A315="","",IF(COUNTIF(Indicadores!$A$2:$A$501,A315)=0,"FALTA","OK"))</f>
        <v>FALTA</v>
      </c>
      <c r="C315" t="str">
        <f>IF(A315="","",IF(COUNTIF(Ubicaciones!$A$2:$A$501,A315)&gt;1,"DUPLICADO","OK"))</f>
        <v>OK</v>
      </c>
    </row>
    <row r="316" spans="1:3">
      <c r="A316">
        <f>Ubicaciones!A304</f>
        <v>0</v>
      </c>
      <c r="B316" t="str">
        <f>IF(A316="","",IF(COUNTIF(Indicadores!$A$2:$A$501,A316)=0,"FALTA","OK"))</f>
        <v>FALTA</v>
      </c>
      <c r="C316" t="str">
        <f>IF(A316="","",IF(COUNTIF(Ubicaciones!$A$2:$A$501,A316)&gt;1,"DUPLICADO","OK"))</f>
        <v>OK</v>
      </c>
    </row>
    <row r="317" spans="1:3">
      <c r="A317">
        <f>Ubicaciones!A305</f>
        <v>0</v>
      </c>
      <c r="B317" t="str">
        <f>IF(A317="","",IF(COUNTIF(Indicadores!$A$2:$A$501,A317)=0,"FALTA","OK"))</f>
        <v>FALTA</v>
      </c>
      <c r="C317" t="str">
        <f>IF(A317="","",IF(COUNTIF(Ubicaciones!$A$2:$A$501,A317)&gt;1,"DUPLICADO","OK"))</f>
        <v>OK</v>
      </c>
    </row>
    <row r="318" spans="1:3">
      <c r="A318">
        <f>Ubicaciones!A306</f>
        <v>0</v>
      </c>
      <c r="B318" t="str">
        <f>IF(A318="","",IF(COUNTIF(Indicadores!$A$2:$A$501,A318)=0,"FALTA","OK"))</f>
        <v>FALTA</v>
      </c>
      <c r="C318" t="str">
        <f>IF(A318="","",IF(COUNTIF(Ubicaciones!$A$2:$A$501,A318)&gt;1,"DUPLICADO","OK"))</f>
        <v>OK</v>
      </c>
    </row>
    <row r="319" spans="1:3">
      <c r="A319">
        <f>Ubicaciones!A307</f>
        <v>0</v>
      </c>
      <c r="B319" t="str">
        <f>IF(A319="","",IF(COUNTIF(Indicadores!$A$2:$A$501,A319)=0,"FALTA","OK"))</f>
        <v>FALTA</v>
      </c>
      <c r="C319" t="str">
        <f>IF(A319="","",IF(COUNTIF(Ubicaciones!$A$2:$A$501,A319)&gt;1,"DUPLICADO","OK"))</f>
        <v>OK</v>
      </c>
    </row>
    <row r="320" spans="1:3">
      <c r="A320">
        <f>Ubicaciones!A308</f>
        <v>0</v>
      </c>
      <c r="B320" t="str">
        <f>IF(A320="","",IF(COUNTIF(Indicadores!$A$2:$A$501,A320)=0,"FALTA","OK"))</f>
        <v>FALTA</v>
      </c>
      <c r="C320" t="str">
        <f>IF(A320="","",IF(COUNTIF(Ubicaciones!$A$2:$A$501,A320)&gt;1,"DUPLICADO","OK"))</f>
        <v>OK</v>
      </c>
    </row>
    <row r="321" spans="1:3">
      <c r="A321">
        <f>Ubicaciones!A309</f>
        <v>0</v>
      </c>
      <c r="B321" t="str">
        <f>IF(A321="","",IF(COUNTIF(Indicadores!$A$2:$A$501,A321)=0,"FALTA","OK"))</f>
        <v>FALTA</v>
      </c>
      <c r="C321" t="str">
        <f>IF(A321="","",IF(COUNTIF(Ubicaciones!$A$2:$A$501,A321)&gt;1,"DUPLICADO","OK"))</f>
        <v>OK</v>
      </c>
    </row>
    <row r="322" spans="1:3">
      <c r="A322">
        <f>Ubicaciones!A310</f>
        <v>0</v>
      </c>
      <c r="B322" t="str">
        <f>IF(A322="","",IF(COUNTIF(Indicadores!$A$2:$A$501,A322)=0,"FALTA","OK"))</f>
        <v>FALTA</v>
      </c>
      <c r="C322" t="str">
        <f>IF(A322="","",IF(COUNTIF(Ubicaciones!$A$2:$A$501,A322)&gt;1,"DUPLICADO","OK"))</f>
        <v>OK</v>
      </c>
    </row>
    <row r="323" spans="1:3">
      <c r="A323">
        <f>Ubicaciones!A311</f>
        <v>0</v>
      </c>
      <c r="B323" t="str">
        <f>IF(A323="","",IF(COUNTIF(Indicadores!$A$2:$A$501,A323)=0,"FALTA","OK"))</f>
        <v>FALTA</v>
      </c>
      <c r="C323" t="str">
        <f>IF(A323="","",IF(COUNTIF(Ubicaciones!$A$2:$A$501,A323)&gt;1,"DUPLICADO","OK"))</f>
        <v>OK</v>
      </c>
    </row>
    <row r="324" spans="1:3">
      <c r="A324">
        <f>Ubicaciones!A312</f>
        <v>0</v>
      </c>
      <c r="B324" t="str">
        <f>IF(A324="","",IF(COUNTIF(Indicadores!$A$2:$A$501,A324)=0,"FALTA","OK"))</f>
        <v>FALTA</v>
      </c>
      <c r="C324" t="str">
        <f>IF(A324="","",IF(COUNTIF(Ubicaciones!$A$2:$A$501,A324)&gt;1,"DUPLICADO","OK"))</f>
        <v>OK</v>
      </c>
    </row>
    <row r="325" spans="1:3">
      <c r="A325">
        <f>Ubicaciones!A313</f>
        <v>0</v>
      </c>
      <c r="B325" t="str">
        <f>IF(A325="","",IF(COUNTIF(Indicadores!$A$2:$A$501,A325)=0,"FALTA","OK"))</f>
        <v>FALTA</v>
      </c>
      <c r="C325" t="str">
        <f>IF(A325="","",IF(COUNTIF(Ubicaciones!$A$2:$A$501,A325)&gt;1,"DUPLICADO","OK"))</f>
        <v>OK</v>
      </c>
    </row>
    <row r="326" spans="1:3">
      <c r="A326">
        <f>Ubicaciones!A314</f>
        <v>0</v>
      </c>
      <c r="B326" t="str">
        <f>IF(A326="","",IF(COUNTIF(Indicadores!$A$2:$A$501,A326)=0,"FALTA","OK"))</f>
        <v>FALTA</v>
      </c>
      <c r="C326" t="str">
        <f>IF(A326="","",IF(COUNTIF(Ubicaciones!$A$2:$A$501,A326)&gt;1,"DUPLICADO","OK"))</f>
        <v>OK</v>
      </c>
    </row>
    <row r="327" spans="1:3">
      <c r="A327">
        <f>Ubicaciones!A315</f>
        <v>0</v>
      </c>
      <c r="B327" t="str">
        <f>IF(A327="","",IF(COUNTIF(Indicadores!$A$2:$A$501,A327)=0,"FALTA","OK"))</f>
        <v>FALTA</v>
      </c>
      <c r="C327" t="str">
        <f>IF(A327="","",IF(COUNTIF(Ubicaciones!$A$2:$A$501,A327)&gt;1,"DUPLICADO","OK"))</f>
        <v>OK</v>
      </c>
    </row>
    <row r="328" spans="1:3">
      <c r="A328">
        <f>Ubicaciones!A316</f>
        <v>0</v>
      </c>
      <c r="B328" t="str">
        <f>IF(A328="","",IF(COUNTIF(Indicadores!$A$2:$A$501,A328)=0,"FALTA","OK"))</f>
        <v>FALTA</v>
      </c>
      <c r="C328" t="str">
        <f>IF(A328="","",IF(COUNTIF(Ubicaciones!$A$2:$A$501,A328)&gt;1,"DUPLICADO","OK"))</f>
        <v>OK</v>
      </c>
    </row>
    <row r="329" spans="1:3">
      <c r="A329">
        <f>Ubicaciones!A317</f>
        <v>0</v>
      </c>
      <c r="B329" t="str">
        <f>IF(A329="","",IF(COUNTIF(Indicadores!$A$2:$A$501,A329)=0,"FALTA","OK"))</f>
        <v>FALTA</v>
      </c>
      <c r="C329" t="str">
        <f>IF(A329="","",IF(COUNTIF(Ubicaciones!$A$2:$A$501,A329)&gt;1,"DUPLICADO","OK"))</f>
        <v>OK</v>
      </c>
    </row>
    <row r="330" spans="1:3">
      <c r="A330">
        <f>Ubicaciones!A318</f>
        <v>0</v>
      </c>
      <c r="B330" t="str">
        <f>IF(A330="","",IF(COUNTIF(Indicadores!$A$2:$A$501,A330)=0,"FALTA","OK"))</f>
        <v>FALTA</v>
      </c>
      <c r="C330" t="str">
        <f>IF(A330="","",IF(COUNTIF(Ubicaciones!$A$2:$A$501,A330)&gt;1,"DUPLICADO","OK"))</f>
        <v>OK</v>
      </c>
    </row>
    <row r="331" spans="1:3">
      <c r="A331">
        <f>Ubicaciones!A319</f>
        <v>0</v>
      </c>
      <c r="B331" t="str">
        <f>IF(A331="","",IF(COUNTIF(Indicadores!$A$2:$A$501,A331)=0,"FALTA","OK"))</f>
        <v>FALTA</v>
      </c>
      <c r="C331" t="str">
        <f>IF(A331="","",IF(COUNTIF(Ubicaciones!$A$2:$A$501,A331)&gt;1,"DUPLICADO","OK"))</f>
        <v>OK</v>
      </c>
    </row>
    <row r="332" spans="1:3">
      <c r="A332">
        <f>Ubicaciones!A320</f>
        <v>0</v>
      </c>
      <c r="B332" t="str">
        <f>IF(A332="","",IF(COUNTIF(Indicadores!$A$2:$A$501,A332)=0,"FALTA","OK"))</f>
        <v>FALTA</v>
      </c>
      <c r="C332" t="str">
        <f>IF(A332="","",IF(COUNTIF(Ubicaciones!$A$2:$A$501,A332)&gt;1,"DUPLICADO","OK"))</f>
        <v>OK</v>
      </c>
    </row>
    <row r="333" spans="1:3">
      <c r="A333">
        <f>Ubicaciones!A321</f>
        <v>0</v>
      </c>
      <c r="B333" t="str">
        <f>IF(A333="","",IF(COUNTIF(Indicadores!$A$2:$A$501,A333)=0,"FALTA","OK"))</f>
        <v>FALTA</v>
      </c>
      <c r="C333" t="str">
        <f>IF(A333="","",IF(COUNTIF(Ubicaciones!$A$2:$A$501,A333)&gt;1,"DUPLICADO","OK"))</f>
        <v>OK</v>
      </c>
    </row>
    <row r="334" spans="1:3">
      <c r="A334">
        <f>Ubicaciones!A322</f>
        <v>0</v>
      </c>
      <c r="B334" t="str">
        <f>IF(A334="","",IF(COUNTIF(Indicadores!$A$2:$A$501,A334)=0,"FALTA","OK"))</f>
        <v>FALTA</v>
      </c>
      <c r="C334" t="str">
        <f>IF(A334="","",IF(COUNTIF(Ubicaciones!$A$2:$A$501,A334)&gt;1,"DUPLICADO","OK"))</f>
        <v>OK</v>
      </c>
    </row>
    <row r="335" spans="1:3">
      <c r="A335">
        <f>Ubicaciones!A323</f>
        <v>0</v>
      </c>
      <c r="B335" t="str">
        <f>IF(A335="","",IF(COUNTIF(Indicadores!$A$2:$A$501,A335)=0,"FALTA","OK"))</f>
        <v>FALTA</v>
      </c>
      <c r="C335" t="str">
        <f>IF(A335="","",IF(COUNTIF(Ubicaciones!$A$2:$A$501,A335)&gt;1,"DUPLICADO","OK"))</f>
        <v>OK</v>
      </c>
    </row>
    <row r="336" spans="1:3">
      <c r="A336">
        <f>Ubicaciones!A324</f>
        <v>0</v>
      </c>
      <c r="B336" t="str">
        <f>IF(A336="","",IF(COUNTIF(Indicadores!$A$2:$A$501,A336)=0,"FALTA","OK"))</f>
        <v>FALTA</v>
      </c>
      <c r="C336" t="str">
        <f>IF(A336="","",IF(COUNTIF(Ubicaciones!$A$2:$A$501,A336)&gt;1,"DUPLICADO","OK"))</f>
        <v>OK</v>
      </c>
    </row>
    <row r="337" spans="1:3">
      <c r="A337">
        <f>Ubicaciones!A325</f>
        <v>0</v>
      </c>
      <c r="B337" t="str">
        <f>IF(A337="","",IF(COUNTIF(Indicadores!$A$2:$A$501,A337)=0,"FALTA","OK"))</f>
        <v>FALTA</v>
      </c>
      <c r="C337" t="str">
        <f>IF(A337="","",IF(COUNTIF(Ubicaciones!$A$2:$A$501,A337)&gt;1,"DUPLICADO","OK"))</f>
        <v>OK</v>
      </c>
    </row>
    <row r="338" spans="1:3">
      <c r="A338">
        <f>Ubicaciones!A326</f>
        <v>0</v>
      </c>
      <c r="B338" t="str">
        <f>IF(A338="","",IF(COUNTIF(Indicadores!$A$2:$A$501,A338)=0,"FALTA","OK"))</f>
        <v>FALTA</v>
      </c>
      <c r="C338" t="str">
        <f>IF(A338="","",IF(COUNTIF(Ubicaciones!$A$2:$A$501,A338)&gt;1,"DUPLICADO","OK"))</f>
        <v>OK</v>
      </c>
    </row>
    <row r="339" spans="1:3">
      <c r="A339">
        <f>Ubicaciones!A327</f>
        <v>0</v>
      </c>
      <c r="B339" t="str">
        <f>IF(A339="","",IF(COUNTIF(Indicadores!$A$2:$A$501,A339)=0,"FALTA","OK"))</f>
        <v>FALTA</v>
      </c>
      <c r="C339" t="str">
        <f>IF(A339="","",IF(COUNTIF(Ubicaciones!$A$2:$A$501,A339)&gt;1,"DUPLICADO","OK"))</f>
        <v>OK</v>
      </c>
    </row>
    <row r="340" spans="1:3">
      <c r="A340">
        <f>Ubicaciones!A328</f>
        <v>0</v>
      </c>
      <c r="B340" t="str">
        <f>IF(A340="","",IF(COUNTIF(Indicadores!$A$2:$A$501,A340)=0,"FALTA","OK"))</f>
        <v>FALTA</v>
      </c>
      <c r="C340" t="str">
        <f>IF(A340="","",IF(COUNTIF(Ubicaciones!$A$2:$A$501,A340)&gt;1,"DUPLICADO","OK"))</f>
        <v>OK</v>
      </c>
    </row>
    <row r="341" spans="1:3">
      <c r="A341">
        <f>Ubicaciones!A329</f>
        <v>0</v>
      </c>
      <c r="B341" t="str">
        <f>IF(A341="","",IF(COUNTIF(Indicadores!$A$2:$A$501,A341)=0,"FALTA","OK"))</f>
        <v>FALTA</v>
      </c>
      <c r="C341" t="str">
        <f>IF(A341="","",IF(COUNTIF(Ubicaciones!$A$2:$A$501,A341)&gt;1,"DUPLICADO","OK"))</f>
        <v>OK</v>
      </c>
    </row>
    <row r="342" spans="1:3">
      <c r="A342">
        <f>Ubicaciones!A330</f>
        <v>0</v>
      </c>
      <c r="B342" t="str">
        <f>IF(A342="","",IF(COUNTIF(Indicadores!$A$2:$A$501,A342)=0,"FALTA","OK"))</f>
        <v>FALTA</v>
      </c>
      <c r="C342" t="str">
        <f>IF(A342="","",IF(COUNTIF(Ubicaciones!$A$2:$A$501,A342)&gt;1,"DUPLICADO","OK"))</f>
        <v>OK</v>
      </c>
    </row>
    <row r="343" spans="1:3">
      <c r="A343">
        <f>Ubicaciones!A331</f>
        <v>0</v>
      </c>
      <c r="B343" t="str">
        <f>IF(A343="","",IF(COUNTIF(Indicadores!$A$2:$A$501,A343)=0,"FALTA","OK"))</f>
        <v>FALTA</v>
      </c>
      <c r="C343" t="str">
        <f>IF(A343="","",IF(COUNTIF(Ubicaciones!$A$2:$A$501,A343)&gt;1,"DUPLICADO","OK"))</f>
        <v>OK</v>
      </c>
    </row>
    <row r="344" spans="1:3">
      <c r="A344">
        <f>Ubicaciones!A332</f>
        <v>0</v>
      </c>
      <c r="B344" t="str">
        <f>IF(A344="","",IF(COUNTIF(Indicadores!$A$2:$A$501,A344)=0,"FALTA","OK"))</f>
        <v>FALTA</v>
      </c>
      <c r="C344" t="str">
        <f>IF(A344="","",IF(COUNTIF(Ubicaciones!$A$2:$A$501,A344)&gt;1,"DUPLICADO","OK"))</f>
        <v>OK</v>
      </c>
    </row>
    <row r="345" spans="1:3">
      <c r="A345">
        <f>Ubicaciones!A333</f>
        <v>0</v>
      </c>
      <c r="B345" t="str">
        <f>IF(A345="","",IF(COUNTIF(Indicadores!$A$2:$A$501,A345)=0,"FALTA","OK"))</f>
        <v>FALTA</v>
      </c>
      <c r="C345" t="str">
        <f>IF(A345="","",IF(COUNTIF(Ubicaciones!$A$2:$A$501,A345)&gt;1,"DUPLICADO","OK"))</f>
        <v>OK</v>
      </c>
    </row>
    <row r="346" spans="1:3">
      <c r="A346">
        <f>Ubicaciones!A334</f>
        <v>0</v>
      </c>
      <c r="B346" t="str">
        <f>IF(A346="","",IF(COUNTIF(Indicadores!$A$2:$A$501,A346)=0,"FALTA","OK"))</f>
        <v>FALTA</v>
      </c>
      <c r="C346" t="str">
        <f>IF(A346="","",IF(COUNTIF(Ubicaciones!$A$2:$A$501,A346)&gt;1,"DUPLICADO","OK"))</f>
        <v>OK</v>
      </c>
    </row>
    <row r="347" spans="1:3">
      <c r="A347">
        <f>Ubicaciones!A335</f>
        <v>0</v>
      </c>
      <c r="B347" t="str">
        <f>IF(A347="","",IF(COUNTIF(Indicadores!$A$2:$A$501,A347)=0,"FALTA","OK"))</f>
        <v>FALTA</v>
      </c>
      <c r="C347" t="str">
        <f>IF(A347="","",IF(COUNTIF(Ubicaciones!$A$2:$A$501,A347)&gt;1,"DUPLICADO","OK"))</f>
        <v>OK</v>
      </c>
    </row>
    <row r="348" spans="1:3">
      <c r="A348">
        <f>Ubicaciones!A336</f>
        <v>0</v>
      </c>
      <c r="B348" t="str">
        <f>IF(A348="","",IF(COUNTIF(Indicadores!$A$2:$A$501,A348)=0,"FALTA","OK"))</f>
        <v>FALTA</v>
      </c>
      <c r="C348" t="str">
        <f>IF(A348="","",IF(COUNTIF(Ubicaciones!$A$2:$A$501,A348)&gt;1,"DUPLICADO","OK"))</f>
        <v>OK</v>
      </c>
    </row>
    <row r="349" spans="1:3">
      <c r="A349">
        <f>Ubicaciones!A337</f>
        <v>0</v>
      </c>
      <c r="B349" t="str">
        <f>IF(A349="","",IF(COUNTIF(Indicadores!$A$2:$A$501,A349)=0,"FALTA","OK"))</f>
        <v>FALTA</v>
      </c>
      <c r="C349" t="str">
        <f>IF(A349="","",IF(COUNTIF(Ubicaciones!$A$2:$A$501,A349)&gt;1,"DUPLICADO","OK"))</f>
        <v>OK</v>
      </c>
    </row>
    <row r="350" spans="1:3">
      <c r="A350">
        <f>Ubicaciones!A338</f>
        <v>0</v>
      </c>
      <c r="B350" t="str">
        <f>IF(A350="","",IF(COUNTIF(Indicadores!$A$2:$A$501,A350)=0,"FALTA","OK"))</f>
        <v>FALTA</v>
      </c>
      <c r="C350" t="str">
        <f>IF(A350="","",IF(COUNTIF(Ubicaciones!$A$2:$A$501,A350)&gt;1,"DUPLICADO","OK"))</f>
        <v>OK</v>
      </c>
    </row>
    <row r="351" spans="1:3">
      <c r="A351">
        <f>Ubicaciones!A339</f>
        <v>0</v>
      </c>
      <c r="B351" t="str">
        <f>IF(A351="","",IF(COUNTIF(Indicadores!$A$2:$A$501,A351)=0,"FALTA","OK"))</f>
        <v>FALTA</v>
      </c>
      <c r="C351" t="str">
        <f>IF(A351="","",IF(COUNTIF(Ubicaciones!$A$2:$A$501,A351)&gt;1,"DUPLICADO","OK"))</f>
        <v>OK</v>
      </c>
    </row>
    <row r="352" spans="1:3">
      <c r="A352">
        <f>Ubicaciones!A340</f>
        <v>0</v>
      </c>
      <c r="B352" t="str">
        <f>IF(A352="","",IF(COUNTIF(Indicadores!$A$2:$A$501,A352)=0,"FALTA","OK"))</f>
        <v>FALTA</v>
      </c>
      <c r="C352" t="str">
        <f>IF(A352="","",IF(COUNTIF(Ubicaciones!$A$2:$A$501,A352)&gt;1,"DUPLICADO","OK"))</f>
        <v>OK</v>
      </c>
    </row>
    <row r="353" spans="1:3">
      <c r="A353">
        <f>Ubicaciones!A341</f>
        <v>0</v>
      </c>
      <c r="B353" t="str">
        <f>IF(A353="","",IF(COUNTIF(Indicadores!$A$2:$A$501,A353)=0,"FALTA","OK"))</f>
        <v>FALTA</v>
      </c>
      <c r="C353" t="str">
        <f>IF(A353="","",IF(COUNTIF(Ubicaciones!$A$2:$A$501,A353)&gt;1,"DUPLICADO","OK"))</f>
        <v>OK</v>
      </c>
    </row>
    <row r="354" spans="1:3">
      <c r="A354">
        <f>Ubicaciones!A342</f>
        <v>0</v>
      </c>
      <c r="B354" t="str">
        <f>IF(A354="","",IF(COUNTIF(Indicadores!$A$2:$A$501,A354)=0,"FALTA","OK"))</f>
        <v>FALTA</v>
      </c>
      <c r="C354" t="str">
        <f>IF(A354="","",IF(COUNTIF(Ubicaciones!$A$2:$A$501,A354)&gt;1,"DUPLICADO","OK"))</f>
        <v>OK</v>
      </c>
    </row>
    <row r="355" spans="1:3">
      <c r="A355">
        <f>Ubicaciones!A343</f>
        <v>0</v>
      </c>
      <c r="B355" t="str">
        <f>IF(A355="","",IF(COUNTIF(Indicadores!$A$2:$A$501,A355)=0,"FALTA","OK"))</f>
        <v>FALTA</v>
      </c>
      <c r="C355" t="str">
        <f>IF(A355="","",IF(COUNTIF(Ubicaciones!$A$2:$A$501,A355)&gt;1,"DUPLICADO","OK"))</f>
        <v>OK</v>
      </c>
    </row>
    <row r="356" spans="1:3">
      <c r="A356">
        <f>Ubicaciones!A344</f>
        <v>0</v>
      </c>
      <c r="B356" t="str">
        <f>IF(A356="","",IF(COUNTIF(Indicadores!$A$2:$A$501,A356)=0,"FALTA","OK"))</f>
        <v>FALTA</v>
      </c>
      <c r="C356" t="str">
        <f>IF(A356="","",IF(COUNTIF(Ubicaciones!$A$2:$A$501,A356)&gt;1,"DUPLICADO","OK"))</f>
        <v>OK</v>
      </c>
    </row>
    <row r="357" spans="1:3">
      <c r="A357">
        <f>Ubicaciones!A345</f>
        <v>0</v>
      </c>
      <c r="B357" t="str">
        <f>IF(A357="","",IF(COUNTIF(Indicadores!$A$2:$A$501,A357)=0,"FALTA","OK"))</f>
        <v>FALTA</v>
      </c>
      <c r="C357" t="str">
        <f>IF(A357="","",IF(COUNTIF(Ubicaciones!$A$2:$A$501,A357)&gt;1,"DUPLICADO","OK"))</f>
        <v>OK</v>
      </c>
    </row>
    <row r="358" spans="1:3">
      <c r="A358">
        <f>Ubicaciones!A346</f>
        <v>0</v>
      </c>
      <c r="B358" t="str">
        <f>IF(A358="","",IF(COUNTIF(Indicadores!$A$2:$A$501,A358)=0,"FALTA","OK"))</f>
        <v>FALTA</v>
      </c>
      <c r="C358" t="str">
        <f>IF(A358="","",IF(COUNTIF(Ubicaciones!$A$2:$A$501,A358)&gt;1,"DUPLICADO","OK"))</f>
        <v>OK</v>
      </c>
    </row>
    <row r="359" spans="1:3">
      <c r="A359">
        <f>Ubicaciones!A347</f>
        <v>0</v>
      </c>
      <c r="B359" t="str">
        <f>IF(A359="","",IF(COUNTIF(Indicadores!$A$2:$A$501,A359)=0,"FALTA","OK"))</f>
        <v>FALTA</v>
      </c>
      <c r="C359" t="str">
        <f>IF(A359="","",IF(COUNTIF(Ubicaciones!$A$2:$A$501,A359)&gt;1,"DUPLICADO","OK"))</f>
        <v>OK</v>
      </c>
    </row>
    <row r="360" spans="1:3">
      <c r="A360">
        <f>Ubicaciones!A348</f>
        <v>0</v>
      </c>
      <c r="B360" t="str">
        <f>IF(A360="","",IF(COUNTIF(Indicadores!$A$2:$A$501,A360)=0,"FALTA","OK"))</f>
        <v>FALTA</v>
      </c>
      <c r="C360" t="str">
        <f>IF(A360="","",IF(COUNTIF(Ubicaciones!$A$2:$A$501,A360)&gt;1,"DUPLICADO","OK"))</f>
        <v>OK</v>
      </c>
    </row>
    <row r="361" spans="1:3">
      <c r="A361">
        <f>Ubicaciones!A349</f>
        <v>0</v>
      </c>
      <c r="B361" t="str">
        <f>IF(A361="","",IF(COUNTIF(Indicadores!$A$2:$A$501,A361)=0,"FALTA","OK"))</f>
        <v>FALTA</v>
      </c>
      <c r="C361" t="str">
        <f>IF(A361="","",IF(COUNTIF(Ubicaciones!$A$2:$A$501,A361)&gt;1,"DUPLICADO","OK"))</f>
        <v>OK</v>
      </c>
    </row>
    <row r="362" spans="1:3">
      <c r="A362">
        <f>Ubicaciones!A350</f>
        <v>0</v>
      </c>
      <c r="B362" t="str">
        <f>IF(A362="","",IF(COUNTIF(Indicadores!$A$2:$A$501,A362)=0,"FALTA","OK"))</f>
        <v>FALTA</v>
      </c>
      <c r="C362" t="str">
        <f>IF(A362="","",IF(COUNTIF(Ubicaciones!$A$2:$A$501,A362)&gt;1,"DUPLICADO","OK"))</f>
        <v>OK</v>
      </c>
    </row>
    <row r="363" spans="1:3">
      <c r="A363">
        <f>Ubicaciones!A351</f>
        <v>0</v>
      </c>
      <c r="B363" t="str">
        <f>IF(A363="","",IF(COUNTIF(Indicadores!$A$2:$A$501,A363)=0,"FALTA","OK"))</f>
        <v>FALTA</v>
      </c>
      <c r="C363" t="str">
        <f>IF(A363="","",IF(COUNTIF(Ubicaciones!$A$2:$A$501,A363)&gt;1,"DUPLICADO","OK"))</f>
        <v>OK</v>
      </c>
    </row>
    <row r="364" spans="1:3">
      <c r="A364">
        <f>Ubicaciones!A352</f>
        <v>0</v>
      </c>
      <c r="B364" t="str">
        <f>IF(A364="","",IF(COUNTIF(Indicadores!$A$2:$A$501,A364)=0,"FALTA","OK"))</f>
        <v>FALTA</v>
      </c>
      <c r="C364" t="str">
        <f>IF(A364="","",IF(COUNTIF(Ubicaciones!$A$2:$A$501,A364)&gt;1,"DUPLICADO","OK"))</f>
        <v>OK</v>
      </c>
    </row>
    <row r="365" spans="1:3">
      <c r="A365">
        <f>Ubicaciones!A353</f>
        <v>0</v>
      </c>
      <c r="B365" t="str">
        <f>IF(A365="","",IF(COUNTIF(Indicadores!$A$2:$A$501,A365)=0,"FALTA","OK"))</f>
        <v>FALTA</v>
      </c>
      <c r="C365" t="str">
        <f>IF(A365="","",IF(COUNTIF(Ubicaciones!$A$2:$A$501,A365)&gt;1,"DUPLICADO","OK"))</f>
        <v>OK</v>
      </c>
    </row>
    <row r="366" spans="1:3">
      <c r="A366">
        <f>Ubicaciones!A354</f>
        <v>0</v>
      </c>
      <c r="B366" t="str">
        <f>IF(A366="","",IF(COUNTIF(Indicadores!$A$2:$A$501,A366)=0,"FALTA","OK"))</f>
        <v>FALTA</v>
      </c>
      <c r="C366" t="str">
        <f>IF(A366="","",IF(COUNTIF(Ubicaciones!$A$2:$A$501,A366)&gt;1,"DUPLICADO","OK"))</f>
        <v>OK</v>
      </c>
    </row>
    <row r="367" spans="1:3">
      <c r="A367">
        <f>Ubicaciones!A355</f>
        <v>0</v>
      </c>
      <c r="B367" t="str">
        <f>IF(A367="","",IF(COUNTIF(Indicadores!$A$2:$A$501,A367)=0,"FALTA","OK"))</f>
        <v>FALTA</v>
      </c>
      <c r="C367" t="str">
        <f>IF(A367="","",IF(COUNTIF(Ubicaciones!$A$2:$A$501,A367)&gt;1,"DUPLICADO","OK"))</f>
        <v>OK</v>
      </c>
    </row>
    <row r="368" spans="1:3">
      <c r="A368">
        <f>Ubicaciones!A356</f>
        <v>0</v>
      </c>
      <c r="B368" t="str">
        <f>IF(A368="","",IF(COUNTIF(Indicadores!$A$2:$A$501,A368)=0,"FALTA","OK"))</f>
        <v>FALTA</v>
      </c>
      <c r="C368" t="str">
        <f>IF(A368="","",IF(COUNTIF(Ubicaciones!$A$2:$A$501,A368)&gt;1,"DUPLICADO","OK"))</f>
        <v>OK</v>
      </c>
    </row>
    <row r="369" spans="1:3">
      <c r="A369">
        <f>Ubicaciones!A357</f>
        <v>0</v>
      </c>
      <c r="B369" t="str">
        <f>IF(A369="","",IF(COUNTIF(Indicadores!$A$2:$A$501,A369)=0,"FALTA","OK"))</f>
        <v>FALTA</v>
      </c>
      <c r="C369" t="str">
        <f>IF(A369="","",IF(COUNTIF(Ubicaciones!$A$2:$A$501,A369)&gt;1,"DUPLICADO","OK"))</f>
        <v>OK</v>
      </c>
    </row>
    <row r="370" spans="1:3">
      <c r="A370">
        <f>Ubicaciones!A358</f>
        <v>0</v>
      </c>
      <c r="B370" t="str">
        <f>IF(A370="","",IF(COUNTIF(Indicadores!$A$2:$A$501,A370)=0,"FALTA","OK"))</f>
        <v>FALTA</v>
      </c>
      <c r="C370" t="str">
        <f>IF(A370="","",IF(COUNTIF(Ubicaciones!$A$2:$A$501,A370)&gt;1,"DUPLICADO","OK"))</f>
        <v>OK</v>
      </c>
    </row>
    <row r="371" spans="1:3">
      <c r="A371">
        <f>Ubicaciones!A359</f>
        <v>0</v>
      </c>
      <c r="B371" t="str">
        <f>IF(A371="","",IF(COUNTIF(Indicadores!$A$2:$A$501,A371)=0,"FALTA","OK"))</f>
        <v>FALTA</v>
      </c>
      <c r="C371" t="str">
        <f>IF(A371="","",IF(COUNTIF(Ubicaciones!$A$2:$A$501,A371)&gt;1,"DUPLICADO","OK"))</f>
        <v>OK</v>
      </c>
    </row>
    <row r="372" spans="1:3">
      <c r="A372">
        <f>Ubicaciones!A360</f>
        <v>0</v>
      </c>
      <c r="B372" t="str">
        <f>IF(A372="","",IF(COUNTIF(Indicadores!$A$2:$A$501,A372)=0,"FALTA","OK"))</f>
        <v>FALTA</v>
      </c>
      <c r="C372" t="str">
        <f>IF(A372="","",IF(COUNTIF(Ubicaciones!$A$2:$A$501,A372)&gt;1,"DUPLICADO","OK"))</f>
        <v>OK</v>
      </c>
    </row>
    <row r="373" spans="1:3">
      <c r="A373">
        <f>Ubicaciones!A361</f>
        <v>0</v>
      </c>
      <c r="B373" t="str">
        <f>IF(A373="","",IF(COUNTIF(Indicadores!$A$2:$A$501,A373)=0,"FALTA","OK"))</f>
        <v>FALTA</v>
      </c>
      <c r="C373" t="str">
        <f>IF(A373="","",IF(COUNTIF(Ubicaciones!$A$2:$A$501,A373)&gt;1,"DUPLICADO","OK"))</f>
        <v>OK</v>
      </c>
    </row>
    <row r="374" spans="1:3">
      <c r="A374">
        <f>Ubicaciones!A362</f>
        <v>0</v>
      </c>
      <c r="B374" t="str">
        <f>IF(A374="","",IF(COUNTIF(Indicadores!$A$2:$A$501,A374)=0,"FALTA","OK"))</f>
        <v>FALTA</v>
      </c>
      <c r="C374" t="str">
        <f>IF(A374="","",IF(COUNTIF(Ubicaciones!$A$2:$A$501,A374)&gt;1,"DUPLICADO","OK"))</f>
        <v>OK</v>
      </c>
    </row>
    <row r="375" spans="1:3">
      <c r="A375">
        <f>Ubicaciones!A363</f>
        <v>0</v>
      </c>
      <c r="B375" t="str">
        <f>IF(A375="","",IF(COUNTIF(Indicadores!$A$2:$A$501,A375)=0,"FALTA","OK"))</f>
        <v>FALTA</v>
      </c>
      <c r="C375" t="str">
        <f>IF(A375="","",IF(COUNTIF(Ubicaciones!$A$2:$A$501,A375)&gt;1,"DUPLICADO","OK"))</f>
        <v>OK</v>
      </c>
    </row>
    <row r="376" spans="1:3">
      <c r="A376">
        <f>Ubicaciones!A364</f>
        <v>0</v>
      </c>
      <c r="B376" t="str">
        <f>IF(A376="","",IF(COUNTIF(Indicadores!$A$2:$A$501,A376)=0,"FALTA","OK"))</f>
        <v>FALTA</v>
      </c>
      <c r="C376" t="str">
        <f>IF(A376="","",IF(COUNTIF(Ubicaciones!$A$2:$A$501,A376)&gt;1,"DUPLICADO","OK"))</f>
        <v>OK</v>
      </c>
    </row>
    <row r="377" spans="1:3">
      <c r="A377">
        <f>Ubicaciones!A365</f>
        <v>0</v>
      </c>
      <c r="B377" t="str">
        <f>IF(A377="","",IF(COUNTIF(Indicadores!$A$2:$A$501,A377)=0,"FALTA","OK"))</f>
        <v>FALTA</v>
      </c>
      <c r="C377" t="str">
        <f>IF(A377="","",IF(COUNTIF(Ubicaciones!$A$2:$A$501,A377)&gt;1,"DUPLICADO","OK"))</f>
        <v>OK</v>
      </c>
    </row>
    <row r="378" spans="1:3">
      <c r="A378">
        <f>Ubicaciones!A366</f>
        <v>0</v>
      </c>
      <c r="B378" t="str">
        <f>IF(A378="","",IF(COUNTIF(Indicadores!$A$2:$A$501,A378)=0,"FALTA","OK"))</f>
        <v>FALTA</v>
      </c>
      <c r="C378" t="str">
        <f>IF(A378="","",IF(COUNTIF(Ubicaciones!$A$2:$A$501,A378)&gt;1,"DUPLICADO","OK"))</f>
        <v>OK</v>
      </c>
    </row>
    <row r="379" spans="1:3">
      <c r="A379">
        <f>Ubicaciones!A367</f>
        <v>0</v>
      </c>
      <c r="B379" t="str">
        <f>IF(A379="","",IF(COUNTIF(Indicadores!$A$2:$A$501,A379)=0,"FALTA","OK"))</f>
        <v>FALTA</v>
      </c>
      <c r="C379" t="str">
        <f>IF(A379="","",IF(COUNTIF(Ubicaciones!$A$2:$A$501,A379)&gt;1,"DUPLICADO","OK"))</f>
        <v>OK</v>
      </c>
    </row>
    <row r="380" spans="1:3">
      <c r="A380">
        <f>Ubicaciones!A368</f>
        <v>0</v>
      </c>
      <c r="B380" t="str">
        <f>IF(A380="","",IF(COUNTIF(Indicadores!$A$2:$A$501,A380)=0,"FALTA","OK"))</f>
        <v>FALTA</v>
      </c>
      <c r="C380" t="str">
        <f>IF(A380="","",IF(COUNTIF(Ubicaciones!$A$2:$A$501,A380)&gt;1,"DUPLICADO","OK"))</f>
        <v>OK</v>
      </c>
    </row>
    <row r="381" spans="1:3">
      <c r="A381">
        <f>Ubicaciones!A369</f>
        <v>0</v>
      </c>
      <c r="B381" t="str">
        <f>IF(A381="","",IF(COUNTIF(Indicadores!$A$2:$A$501,A381)=0,"FALTA","OK"))</f>
        <v>FALTA</v>
      </c>
      <c r="C381" t="str">
        <f>IF(A381="","",IF(COUNTIF(Ubicaciones!$A$2:$A$501,A381)&gt;1,"DUPLICADO","OK"))</f>
        <v>OK</v>
      </c>
    </row>
    <row r="382" spans="1:3">
      <c r="A382">
        <f>Ubicaciones!A370</f>
        <v>0</v>
      </c>
      <c r="B382" t="str">
        <f>IF(A382="","",IF(COUNTIF(Indicadores!$A$2:$A$501,A382)=0,"FALTA","OK"))</f>
        <v>FALTA</v>
      </c>
      <c r="C382" t="str">
        <f>IF(A382="","",IF(COUNTIF(Ubicaciones!$A$2:$A$501,A382)&gt;1,"DUPLICADO","OK"))</f>
        <v>OK</v>
      </c>
    </row>
    <row r="383" spans="1:3">
      <c r="A383">
        <f>Ubicaciones!A371</f>
        <v>0</v>
      </c>
      <c r="B383" t="str">
        <f>IF(A383="","",IF(COUNTIF(Indicadores!$A$2:$A$501,A383)=0,"FALTA","OK"))</f>
        <v>FALTA</v>
      </c>
      <c r="C383" t="str">
        <f>IF(A383="","",IF(COUNTIF(Ubicaciones!$A$2:$A$501,A383)&gt;1,"DUPLICADO","OK"))</f>
        <v>OK</v>
      </c>
    </row>
    <row r="384" spans="1:3">
      <c r="A384">
        <f>Ubicaciones!A372</f>
        <v>0</v>
      </c>
      <c r="B384" t="str">
        <f>IF(A384="","",IF(COUNTIF(Indicadores!$A$2:$A$501,A384)=0,"FALTA","OK"))</f>
        <v>FALTA</v>
      </c>
      <c r="C384" t="str">
        <f>IF(A384="","",IF(COUNTIF(Ubicaciones!$A$2:$A$501,A384)&gt;1,"DUPLICADO","OK"))</f>
        <v>OK</v>
      </c>
    </row>
    <row r="385" spans="1:3">
      <c r="A385">
        <f>Ubicaciones!A373</f>
        <v>0</v>
      </c>
      <c r="B385" t="str">
        <f>IF(A385="","",IF(COUNTIF(Indicadores!$A$2:$A$501,A385)=0,"FALTA","OK"))</f>
        <v>FALTA</v>
      </c>
      <c r="C385" t="str">
        <f>IF(A385="","",IF(COUNTIF(Ubicaciones!$A$2:$A$501,A385)&gt;1,"DUPLICADO","OK"))</f>
        <v>OK</v>
      </c>
    </row>
    <row r="386" spans="1:3">
      <c r="A386">
        <f>Ubicaciones!A374</f>
        <v>0</v>
      </c>
      <c r="B386" t="str">
        <f>IF(A386="","",IF(COUNTIF(Indicadores!$A$2:$A$501,A386)=0,"FALTA","OK"))</f>
        <v>FALTA</v>
      </c>
      <c r="C386" t="str">
        <f>IF(A386="","",IF(COUNTIF(Ubicaciones!$A$2:$A$501,A386)&gt;1,"DUPLICADO","OK"))</f>
        <v>OK</v>
      </c>
    </row>
    <row r="387" spans="1:3">
      <c r="A387">
        <f>Ubicaciones!A375</f>
        <v>0</v>
      </c>
      <c r="B387" t="str">
        <f>IF(A387="","",IF(COUNTIF(Indicadores!$A$2:$A$501,A387)=0,"FALTA","OK"))</f>
        <v>FALTA</v>
      </c>
      <c r="C387" t="str">
        <f>IF(A387="","",IF(COUNTIF(Ubicaciones!$A$2:$A$501,A387)&gt;1,"DUPLICADO","OK"))</f>
        <v>OK</v>
      </c>
    </row>
    <row r="388" spans="1:3">
      <c r="A388">
        <f>Ubicaciones!A376</f>
        <v>0</v>
      </c>
      <c r="B388" t="str">
        <f>IF(A388="","",IF(COUNTIF(Indicadores!$A$2:$A$501,A388)=0,"FALTA","OK"))</f>
        <v>FALTA</v>
      </c>
      <c r="C388" t="str">
        <f>IF(A388="","",IF(COUNTIF(Ubicaciones!$A$2:$A$501,A388)&gt;1,"DUPLICADO","OK"))</f>
        <v>OK</v>
      </c>
    </row>
    <row r="389" spans="1:3">
      <c r="A389">
        <f>Ubicaciones!A377</f>
        <v>0</v>
      </c>
      <c r="B389" t="str">
        <f>IF(A389="","",IF(COUNTIF(Indicadores!$A$2:$A$501,A389)=0,"FALTA","OK"))</f>
        <v>FALTA</v>
      </c>
      <c r="C389" t="str">
        <f>IF(A389="","",IF(COUNTIF(Ubicaciones!$A$2:$A$501,A389)&gt;1,"DUPLICADO","OK"))</f>
        <v>OK</v>
      </c>
    </row>
    <row r="390" spans="1:3">
      <c r="A390">
        <f>Ubicaciones!A378</f>
        <v>0</v>
      </c>
      <c r="B390" t="str">
        <f>IF(A390="","",IF(COUNTIF(Indicadores!$A$2:$A$501,A390)=0,"FALTA","OK"))</f>
        <v>FALTA</v>
      </c>
      <c r="C390" t="str">
        <f>IF(A390="","",IF(COUNTIF(Ubicaciones!$A$2:$A$501,A390)&gt;1,"DUPLICADO","OK"))</f>
        <v>OK</v>
      </c>
    </row>
    <row r="391" spans="1:3">
      <c r="A391">
        <f>Ubicaciones!A379</f>
        <v>0</v>
      </c>
      <c r="B391" t="str">
        <f>IF(A391="","",IF(COUNTIF(Indicadores!$A$2:$A$501,A391)=0,"FALTA","OK"))</f>
        <v>FALTA</v>
      </c>
      <c r="C391" t="str">
        <f>IF(A391="","",IF(COUNTIF(Ubicaciones!$A$2:$A$501,A391)&gt;1,"DUPLICADO","OK"))</f>
        <v>OK</v>
      </c>
    </row>
    <row r="392" spans="1:3">
      <c r="A392">
        <f>Ubicaciones!A380</f>
        <v>0</v>
      </c>
      <c r="B392" t="str">
        <f>IF(A392="","",IF(COUNTIF(Indicadores!$A$2:$A$501,A392)=0,"FALTA","OK"))</f>
        <v>FALTA</v>
      </c>
      <c r="C392" t="str">
        <f>IF(A392="","",IF(COUNTIF(Ubicaciones!$A$2:$A$501,A392)&gt;1,"DUPLICADO","OK"))</f>
        <v>OK</v>
      </c>
    </row>
    <row r="393" spans="1:3">
      <c r="A393">
        <f>Ubicaciones!A381</f>
        <v>0</v>
      </c>
      <c r="B393" t="str">
        <f>IF(A393="","",IF(COUNTIF(Indicadores!$A$2:$A$501,A393)=0,"FALTA","OK"))</f>
        <v>FALTA</v>
      </c>
      <c r="C393" t="str">
        <f>IF(A393="","",IF(COUNTIF(Ubicaciones!$A$2:$A$501,A393)&gt;1,"DUPLICADO","OK"))</f>
        <v>OK</v>
      </c>
    </row>
    <row r="394" spans="1:3">
      <c r="A394">
        <f>Ubicaciones!A382</f>
        <v>0</v>
      </c>
      <c r="B394" t="str">
        <f>IF(A394="","",IF(COUNTIF(Indicadores!$A$2:$A$501,A394)=0,"FALTA","OK"))</f>
        <v>FALTA</v>
      </c>
      <c r="C394" t="str">
        <f>IF(A394="","",IF(COUNTIF(Ubicaciones!$A$2:$A$501,A394)&gt;1,"DUPLICADO","OK"))</f>
        <v>OK</v>
      </c>
    </row>
    <row r="395" spans="1:3">
      <c r="A395">
        <f>Ubicaciones!A383</f>
        <v>0</v>
      </c>
      <c r="B395" t="str">
        <f>IF(A395="","",IF(COUNTIF(Indicadores!$A$2:$A$501,A395)=0,"FALTA","OK"))</f>
        <v>FALTA</v>
      </c>
      <c r="C395" t="str">
        <f>IF(A395="","",IF(COUNTIF(Ubicaciones!$A$2:$A$501,A395)&gt;1,"DUPLICADO","OK"))</f>
        <v>OK</v>
      </c>
    </row>
    <row r="396" spans="1:3">
      <c r="A396">
        <f>Ubicaciones!A384</f>
        <v>0</v>
      </c>
      <c r="B396" t="str">
        <f>IF(A396="","",IF(COUNTIF(Indicadores!$A$2:$A$501,A396)=0,"FALTA","OK"))</f>
        <v>FALTA</v>
      </c>
      <c r="C396" t="str">
        <f>IF(A396="","",IF(COUNTIF(Ubicaciones!$A$2:$A$501,A396)&gt;1,"DUPLICADO","OK"))</f>
        <v>OK</v>
      </c>
    </row>
    <row r="397" spans="1:3">
      <c r="A397">
        <f>Ubicaciones!A385</f>
        <v>0</v>
      </c>
      <c r="B397" t="str">
        <f>IF(A397="","",IF(COUNTIF(Indicadores!$A$2:$A$501,A397)=0,"FALTA","OK"))</f>
        <v>FALTA</v>
      </c>
      <c r="C397" t="str">
        <f>IF(A397="","",IF(COUNTIF(Ubicaciones!$A$2:$A$501,A397)&gt;1,"DUPLICADO","OK"))</f>
        <v>OK</v>
      </c>
    </row>
    <row r="398" spans="1:3">
      <c r="A398">
        <f>Ubicaciones!A386</f>
        <v>0</v>
      </c>
      <c r="B398" t="str">
        <f>IF(A398="","",IF(COUNTIF(Indicadores!$A$2:$A$501,A398)=0,"FALTA","OK"))</f>
        <v>FALTA</v>
      </c>
      <c r="C398" t="str">
        <f>IF(A398="","",IF(COUNTIF(Ubicaciones!$A$2:$A$501,A398)&gt;1,"DUPLICADO","OK"))</f>
        <v>OK</v>
      </c>
    </row>
    <row r="399" spans="1:3">
      <c r="A399">
        <f>Ubicaciones!A387</f>
        <v>0</v>
      </c>
      <c r="B399" t="str">
        <f>IF(A399="","",IF(COUNTIF(Indicadores!$A$2:$A$501,A399)=0,"FALTA","OK"))</f>
        <v>FALTA</v>
      </c>
      <c r="C399" t="str">
        <f>IF(A399="","",IF(COUNTIF(Ubicaciones!$A$2:$A$501,A399)&gt;1,"DUPLICADO","OK"))</f>
        <v>OK</v>
      </c>
    </row>
    <row r="400" spans="1:3">
      <c r="A400">
        <f>Ubicaciones!A388</f>
        <v>0</v>
      </c>
      <c r="B400" t="str">
        <f>IF(A400="","",IF(COUNTIF(Indicadores!$A$2:$A$501,A400)=0,"FALTA","OK"))</f>
        <v>FALTA</v>
      </c>
      <c r="C400" t="str">
        <f>IF(A400="","",IF(COUNTIF(Ubicaciones!$A$2:$A$501,A400)&gt;1,"DUPLICADO","OK"))</f>
        <v>OK</v>
      </c>
    </row>
    <row r="401" spans="1:3">
      <c r="A401">
        <f>Ubicaciones!A389</f>
        <v>0</v>
      </c>
      <c r="B401" t="str">
        <f>IF(A401="","",IF(COUNTIF(Indicadores!$A$2:$A$501,A401)=0,"FALTA","OK"))</f>
        <v>FALTA</v>
      </c>
      <c r="C401" t="str">
        <f>IF(A401="","",IF(COUNTIF(Ubicaciones!$A$2:$A$501,A401)&gt;1,"DUPLICADO","OK"))</f>
        <v>OK</v>
      </c>
    </row>
    <row r="402" spans="1:3">
      <c r="A402">
        <f>Ubicaciones!A390</f>
        <v>0</v>
      </c>
      <c r="B402" t="str">
        <f>IF(A402="","",IF(COUNTIF(Indicadores!$A$2:$A$501,A402)=0,"FALTA","OK"))</f>
        <v>FALTA</v>
      </c>
      <c r="C402" t="str">
        <f>IF(A402="","",IF(COUNTIF(Ubicaciones!$A$2:$A$501,A402)&gt;1,"DUPLICADO","OK"))</f>
        <v>OK</v>
      </c>
    </row>
    <row r="403" spans="1:3">
      <c r="A403">
        <f>Ubicaciones!A391</f>
        <v>0</v>
      </c>
      <c r="B403" t="str">
        <f>IF(A403="","",IF(COUNTIF(Indicadores!$A$2:$A$501,A403)=0,"FALTA","OK"))</f>
        <v>FALTA</v>
      </c>
      <c r="C403" t="str">
        <f>IF(A403="","",IF(COUNTIF(Ubicaciones!$A$2:$A$501,A403)&gt;1,"DUPLICADO","OK"))</f>
        <v>OK</v>
      </c>
    </row>
    <row r="404" spans="1:3">
      <c r="A404">
        <f>Ubicaciones!A392</f>
        <v>0</v>
      </c>
      <c r="B404" t="str">
        <f>IF(A404="","",IF(COUNTIF(Indicadores!$A$2:$A$501,A404)=0,"FALTA","OK"))</f>
        <v>FALTA</v>
      </c>
      <c r="C404" t="str">
        <f>IF(A404="","",IF(COUNTIF(Ubicaciones!$A$2:$A$501,A404)&gt;1,"DUPLICADO","OK"))</f>
        <v>OK</v>
      </c>
    </row>
    <row r="405" spans="1:3">
      <c r="A405">
        <f>Ubicaciones!A393</f>
        <v>0</v>
      </c>
      <c r="B405" t="str">
        <f>IF(A405="","",IF(COUNTIF(Indicadores!$A$2:$A$501,A405)=0,"FALTA","OK"))</f>
        <v>FALTA</v>
      </c>
      <c r="C405" t="str">
        <f>IF(A405="","",IF(COUNTIF(Ubicaciones!$A$2:$A$501,A405)&gt;1,"DUPLICADO","OK"))</f>
        <v>OK</v>
      </c>
    </row>
    <row r="406" spans="1:3">
      <c r="A406">
        <f>Ubicaciones!A394</f>
        <v>0</v>
      </c>
      <c r="B406" t="str">
        <f>IF(A406="","",IF(COUNTIF(Indicadores!$A$2:$A$501,A406)=0,"FALTA","OK"))</f>
        <v>FALTA</v>
      </c>
      <c r="C406" t="str">
        <f>IF(A406="","",IF(COUNTIF(Ubicaciones!$A$2:$A$501,A406)&gt;1,"DUPLICADO","OK"))</f>
        <v>OK</v>
      </c>
    </row>
    <row r="407" spans="1:3">
      <c r="A407">
        <f>Ubicaciones!A395</f>
        <v>0</v>
      </c>
      <c r="B407" t="str">
        <f>IF(A407="","",IF(COUNTIF(Indicadores!$A$2:$A$501,A407)=0,"FALTA","OK"))</f>
        <v>FALTA</v>
      </c>
      <c r="C407" t="str">
        <f>IF(A407="","",IF(COUNTIF(Ubicaciones!$A$2:$A$501,A407)&gt;1,"DUPLICADO","OK"))</f>
        <v>OK</v>
      </c>
    </row>
    <row r="408" spans="1:3">
      <c r="A408">
        <f>Ubicaciones!A396</f>
        <v>0</v>
      </c>
      <c r="B408" t="str">
        <f>IF(A408="","",IF(COUNTIF(Indicadores!$A$2:$A$501,A408)=0,"FALTA","OK"))</f>
        <v>FALTA</v>
      </c>
      <c r="C408" t="str">
        <f>IF(A408="","",IF(COUNTIF(Ubicaciones!$A$2:$A$501,A408)&gt;1,"DUPLICADO","OK"))</f>
        <v>OK</v>
      </c>
    </row>
    <row r="409" spans="1:3">
      <c r="A409">
        <f>Ubicaciones!A397</f>
        <v>0</v>
      </c>
      <c r="B409" t="str">
        <f>IF(A409="","",IF(COUNTIF(Indicadores!$A$2:$A$501,A409)=0,"FALTA","OK"))</f>
        <v>FALTA</v>
      </c>
      <c r="C409" t="str">
        <f>IF(A409="","",IF(COUNTIF(Ubicaciones!$A$2:$A$501,A409)&gt;1,"DUPLICADO","OK"))</f>
        <v>OK</v>
      </c>
    </row>
    <row r="410" spans="1:3">
      <c r="A410">
        <f>Ubicaciones!A398</f>
        <v>0</v>
      </c>
      <c r="B410" t="str">
        <f>IF(A410="","",IF(COUNTIF(Indicadores!$A$2:$A$501,A410)=0,"FALTA","OK"))</f>
        <v>FALTA</v>
      </c>
      <c r="C410" t="str">
        <f>IF(A410="","",IF(COUNTIF(Ubicaciones!$A$2:$A$501,A410)&gt;1,"DUPLICADO","OK"))</f>
        <v>OK</v>
      </c>
    </row>
    <row r="411" spans="1:3">
      <c r="A411">
        <f>Ubicaciones!A399</f>
        <v>0</v>
      </c>
      <c r="B411" t="str">
        <f>IF(A411="","",IF(COUNTIF(Indicadores!$A$2:$A$501,A411)=0,"FALTA","OK"))</f>
        <v>FALTA</v>
      </c>
      <c r="C411" t="str">
        <f>IF(A411="","",IF(COUNTIF(Ubicaciones!$A$2:$A$501,A411)&gt;1,"DUPLICADO","OK"))</f>
        <v>OK</v>
      </c>
    </row>
    <row r="412" spans="1:3">
      <c r="A412">
        <f>Ubicaciones!A400</f>
        <v>0</v>
      </c>
      <c r="B412" t="str">
        <f>IF(A412="","",IF(COUNTIF(Indicadores!$A$2:$A$501,A412)=0,"FALTA","OK"))</f>
        <v>FALTA</v>
      </c>
      <c r="C412" t="str">
        <f>IF(A412="","",IF(COUNTIF(Ubicaciones!$A$2:$A$501,A412)&gt;1,"DUPLICADO","OK"))</f>
        <v>OK</v>
      </c>
    </row>
    <row r="413" spans="1:3">
      <c r="A413">
        <f>Ubicaciones!A401</f>
        <v>0</v>
      </c>
      <c r="B413" t="str">
        <f>IF(A413="","",IF(COUNTIF(Indicadores!$A$2:$A$501,A413)=0,"FALTA","OK"))</f>
        <v>FALTA</v>
      </c>
      <c r="C413" t="str">
        <f>IF(A413="","",IF(COUNTIF(Ubicaciones!$A$2:$A$501,A413)&gt;1,"DUPLICADO","OK"))</f>
        <v>OK</v>
      </c>
    </row>
    <row r="414" spans="1:3">
      <c r="A414">
        <f>Ubicaciones!A402</f>
        <v>0</v>
      </c>
      <c r="B414" t="str">
        <f>IF(A414="","",IF(COUNTIF(Indicadores!$A$2:$A$501,A414)=0,"FALTA","OK"))</f>
        <v>FALTA</v>
      </c>
      <c r="C414" t="str">
        <f>IF(A414="","",IF(COUNTIF(Ubicaciones!$A$2:$A$501,A414)&gt;1,"DUPLICADO","OK"))</f>
        <v>OK</v>
      </c>
    </row>
    <row r="415" spans="1:3">
      <c r="A415">
        <f>Ubicaciones!A403</f>
        <v>0</v>
      </c>
      <c r="B415" t="str">
        <f>IF(A415="","",IF(COUNTIF(Indicadores!$A$2:$A$501,A415)=0,"FALTA","OK"))</f>
        <v>FALTA</v>
      </c>
      <c r="C415" t="str">
        <f>IF(A415="","",IF(COUNTIF(Ubicaciones!$A$2:$A$501,A415)&gt;1,"DUPLICADO","OK"))</f>
        <v>OK</v>
      </c>
    </row>
    <row r="416" spans="1:3">
      <c r="A416">
        <f>Ubicaciones!A404</f>
        <v>0</v>
      </c>
      <c r="B416" t="str">
        <f>IF(A416="","",IF(COUNTIF(Indicadores!$A$2:$A$501,A416)=0,"FALTA","OK"))</f>
        <v>FALTA</v>
      </c>
      <c r="C416" t="str">
        <f>IF(A416="","",IF(COUNTIF(Ubicaciones!$A$2:$A$501,A416)&gt;1,"DUPLICADO","OK"))</f>
        <v>OK</v>
      </c>
    </row>
    <row r="417" spans="1:3">
      <c r="A417">
        <f>Ubicaciones!A405</f>
        <v>0</v>
      </c>
      <c r="B417" t="str">
        <f>IF(A417="","",IF(COUNTIF(Indicadores!$A$2:$A$501,A417)=0,"FALTA","OK"))</f>
        <v>FALTA</v>
      </c>
      <c r="C417" t="str">
        <f>IF(A417="","",IF(COUNTIF(Ubicaciones!$A$2:$A$501,A417)&gt;1,"DUPLICADO","OK"))</f>
        <v>OK</v>
      </c>
    </row>
    <row r="418" spans="1:3">
      <c r="A418">
        <f>Ubicaciones!A406</f>
        <v>0</v>
      </c>
      <c r="B418" t="str">
        <f>IF(A418="","",IF(COUNTIF(Indicadores!$A$2:$A$501,A418)=0,"FALTA","OK"))</f>
        <v>FALTA</v>
      </c>
      <c r="C418" t="str">
        <f>IF(A418="","",IF(COUNTIF(Ubicaciones!$A$2:$A$501,A418)&gt;1,"DUPLICADO","OK"))</f>
        <v>OK</v>
      </c>
    </row>
    <row r="419" spans="1:3">
      <c r="A419">
        <f>Ubicaciones!A407</f>
        <v>0</v>
      </c>
      <c r="B419" t="str">
        <f>IF(A419="","",IF(COUNTIF(Indicadores!$A$2:$A$501,A419)=0,"FALTA","OK"))</f>
        <v>FALTA</v>
      </c>
      <c r="C419" t="str">
        <f>IF(A419="","",IF(COUNTIF(Ubicaciones!$A$2:$A$501,A419)&gt;1,"DUPLICADO","OK"))</f>
        <v>OK</v>
      </c>
    </row>
    <row r="420" spans="1:3">
      <c r="A420">
        <f>Ubicaciones!A408</f>
        <v>0</v>
      </c>
      <c r="B420" t="str">
        <f>IF(A420="","",IF(COUNTIF(Indicadores!$A$2:$A$501,A420)=0,"FALTA","OK"))</f>
        <v>FALTA</v>
      </c>
      <c r="C420" t="str">
        <f>IF(A420="","",IF(COUNTIF(Ubicaciones!$A$2:$A$501,A420)&gt;1,"DUPLICADO","OK"))</f>
        <v>OK</v>
      </c>
    </row>
    <row r="421" spans="1:3">
      <c r="A421">
        <f>Ubicaciones!A409</f>
        <v>0</v>
      </c>
      <c r="B421" t="str">
        <f>IF(A421="","",IF(COUNTIF(Indicadores!$A$2:$A$501,A421)=0,"FALTA","OK"))</f>
        <v>FALTA</v>
      </c>
      <c r="C421" t="str">
        <f>IF(A421="","",IF(COUNTIF(Ubicaciones!$A$2:$A$501,A421)&gt;1,"DUPLICADO","OK"))</f>
        <v>OK</v>
      </c>
    </row>
    <row r="422" spans="1:3">
      <c r="A422">
        <f>Ubicaciones!A410</f>
        <v>0</v>
      </c>
      <c r="B422" t="str">
        <f>IF(A422="","",IF(COUNTIF(Indicadores!$A$2:$A$501,A422)=0,"FALTA","OK"))</f>
        <v>FALTA</v>
      </c>
      <c r="C422" t="str">
        <f>IF(A422="","",IF(COUNTIF(Ubicaciones!$A$2:$A$501,A422)&gt;1,"DUPLICADO","OK"))</f>
        <v>OK</v>
      </c>
    </row>
    <row r="423" spans="1:3">
      <c r="A423">
        <f>Ubicaciones!A411</f>
        <v>0</v>
      </c>
      <c r="B423" t="str">
        <f>IF(A423="","",IF(COUNTIF(Indicadores!$A$2:$A$501,A423)=0,"FALTA","OK"))</f>
        <v>FALTA</v>
      </c>
      <c r="C423" t="str">
        <f>IF(A423="","",IF(COUNTIF(Ubicaciones!$A$2:$A$501,A423)&gt;1,"DUPLICADO","OK"))</f>
        <v>OK</v>
      </c>
    </row>
    <row r="424" spans="1:3">
      <c r="A424">
        <f>Ubicaciones!A412</f>
        <v>0</v>
      </c>
      <c r="B424" t="str">
        <f>IF(A424="","",IF(COUNTIF(Indicadores!$A$2:$A$501,A424)=0,"FALTA","OK"))</f>
        <v>FALTA</v>
      </c>
      <c r="C424" t="str">
        <f>IF(A424="","",IF(COUNTIF(Ubicaciones!$A$2:$A$501,A424)&gt;1,"DUPLICADO","OK"))</f>
        <v>OK</v>
      </c>
    </row>
    <row r="425" spans="1:3">
      <c r="A425">
        <f>Ubicaciones!A413</f>
        <v>0</v>
      </c>
      <c r="B425" t="str">
        <f>IF(A425="","",IF(COUNTIF(Indicadores!$A$2:$A$501,A425)=0,"FALTA","OK"))</f>
        <v>FALTA</v>
      </c>
      <c r="C425" t="str">
        <f>IF(A425="","",IF(COUNTIF(Ubicaciones!$A$2:$A$501,A425)&gt;1,"DUPLICADO","OK"))</f>
        <v>OK</v>
      </c>
    </row>
    <row r="426" spans="1:3">
      <c r="A426">
        <f>Ubicaciones!A414</f>
        <v>0</v>
      </c>
      <c r="B426" t="str">
        <f>IF(A426="","",IF(COUNTIF(Indicadores!$A$2:$A$501,A426)=0,"FALTA","OK"))</f>
        <v>FALTA</v>
      </c>
      <c r="C426" t="str">
        <f>IF(A426="","",IF(COUNTIF(Ubicaciones!$A$2:$A$501,A426)&gt;1,"DUPLICADO","OK"))</f>
        <v>OK</v>
      </c>
    </row>
    <row r="427" spans="1:3">
      <c r="A427">
        <f>Ubicaciones!A415</f>
        <v>0</v>
      </c>
      <c r="B427" t="str">
        <f>IF(A427="","",IF(COUNTIF(Indicadores!$A$2:$A$501,A427)=0,"FALTA","OK"))</f>
        <v>FALTA</v>
      </c>
      <c r="C427" t="str">
        <f>IF(A427="","",IF(COUNTIF(Ubicaciones!$A$2:$A$501,A427)&gt;1,"DUPLICADO","OK"))</f>
        <v>OK</v>
      </c>
    </row>
    <row r="428" spans="1:3">
      <c r="A428">
        <f>Ubicaciones!A416</f>
        <v>0</v>
      </c>
      <c r="B428" t="str">
        <f>IF(A428="","",IF(COUNTIF(Indicadores!$A$2:$A$501,A428)=0,"FALTA","OK"))</f>
        <v>FALTA</v>
      </c>
      <c r="C428" t="str">
        <f>IF(A428="","",IF(COUNTIF(Ubicaciones!$A$2:$A$501,A428)&gt;1,"DUPLICADO","OK"))</f>
        <v>OK</v>
      </c>
    </row>
    <row r="429" spans="1:3">
      <c r="A429">
        <f>Ubicaciones!A417</f>
        <v>0</v>
      </c>
      <c r="B429" t="str">
        <f>IF(A429="","",IF(COUNTIF(Indicadores!$A$2:$A$501,A429)=0,"FALTA","OK"))</f>
        <v>FALTA</v>
      </c>
      <c r="C429" t="str">
        <f>IF(A429="","",IF(COUNTIF(Ubicaciones!$A$2:$A$501,A429)&gt;1,"DUPLICADO","OK"))</f>
        <v>OK</v>
      </c>
    </row>
    <row r="430" spans="1:3">
      <c r="A430">
        <f>Ubicaciones!A418</f>
        <v>0</v>
      </c>
      <c r="B430" t="str">
        <f>IF(A430="","",IF(COUNTIF(Indicadores!$A$2:$A$501,A430)=0,"FALTA","OK"))</f>
        <v>FALTA</v>
      </c>
      <c r="C430" t="str">
        <f>IF(A430="","",IF(COUNTIF(Ubicaciones!$A$2:$A$501,A430)&gt;1,"DUPLICADO","OK"))</f>
        <v>OK</v>
      </c>
    </row>
    <row r="431" spans="1:3">
      <c r="A431">
        <f>Ubicaciones!A419</f>
        <v>0</v>
      </c>
      <c r="B431" t="str">
        <f>IF(A431="","",IF(COUNTIF(Indicadores!$A$2:$A$501,A431)=0,"FALTA","OK"))</f>
        <v>FALTA</v>
      </c>
      <c r="C431" t="str">
        <f>IF(A431="","",IF(COUNTIF(Ubicaciones!$A$2:$A$501,A431)&gt;1,"DUPLICADO","OK"))</f>
        <v>OK</v>
      </c>
    </row>
    <row r="432" spans="1:3">
      <c r="A432">
        <f>Ubicaciones!A420</f>
        <v>0</v>
      </c>
      <c r="B432" t="str">
        <f>IF(A432="","",IF(COUNTIF(Indicadores!$A$2:$A$501,A432)=0,"FALTA","OK"))</f>
        <v>FALTA</v>
      </c>
      <c r="C432" t="str">
        <f>IF(A432="","",IF(COUNTIF(Ubicaciones!$A$2:$A$501,A432)&gt;1,"DUPLICADO","OK"))</f>
        <v>OK</v>
      </c>
    </row>
    <row r="433" spans="1:3">
      <c r="A433">
        <f>Ubicaciones!A421</f>
        <v>0</v>
      </c>
      <c r="B433" t="str">
        <f>IF(A433="","",IF(COUNTIF(Indicadores!$A$2:$A$501,A433)=0,"FALTA","OK"))</f>
        <v>FALTA</v>
      </c>
      <c r="C433" t="str">
        <f>IF(A433="","",IF(COUNTIF(Ubicaciones!$A$2:$A$501,A433)&gt;1,"DUPLICADO","OK"))</f>
        <v>OK</v>
      </c>
    </row>
    <row r="434" spans="1:3">
      <c r="A434">
        <f>Ubicaciones!A422</f>
        <v>0</v>
      </c>
      <c r="B434" t="str">
        <f>IF(A434="","",IF(COUNTIF(Indicadores!$A$2:$A$501,A434)=0,"FALTA","OK"))</f>
        <v>FALTA</v>
      </c>
      <c r="C434" t="str">
        <f>IF(A434="","",IF(COUNTIF(Ubicaciones!$A$2:$A$501,A434)&gt;1,"DUPLICADO","OK"))</f>
        <v>OK</v>
      </c>
    </row>
    <row r="435" spans="1:3">
      <c r="A435">
        <f>Ubicaciones!A423</f>
        <v>0</v>
      </c>
      <c r="B435" t="str">
        <f>IF(A435="","",IF(COUNTIF(Indicadores!$A$2:$A$501,A435)=0,"FALTA","OK"))</f>
        <v>FALTA</v>
      </c>
      <c r="C435" t="str">
        <f>IF(A435="","",IF(COUNTIF(Ubicaciones!$A$2:$A$501,A435)&gt;1,"DUPLICADO","OK"))</f>
        <v>OK</v>
      </c>
    </row>
    <row r="436" spans="1:3">
      <c r="A436">
        <f>Ubicaciones!A424</f>
        <v>0</v>
      </c>
      <c r="B436" t="str">
        <f>IF(A436="","",IF(COUNTIF(Indicadores!$A$2:$A$501,A436)=0,"FALTA","OK"))</f>
        <v>FALTA</v>
      </c>
      <c r="C436" t="str">
        <f>IF(A436="","",IF(COUNTIF(Ubicaciones!$A$2:$A$501,A436)&gt;1,"DUPLICADO","OK"))</f>
        <v>OK</v>
      </c>
    </row>
    <row r="437" spans="1:3">
      <c r="A437">
        <f>Ubicaciones!A425</f>
        <v>0</v>
      </c>
      <c r="B437" t="str">
        <f>IF(A437="","",IF(COUNTIF(Indicadores!$A$2:$A$501,A437)=0,"FALTA","OK"))</f>
        <v>FALTA</v>
      </c>
      <c r="C437" t="str">
        <f>IF(A437="","",IF(COUNTIF(Ubicaciones!$A$2:$A$501,A437)&gt;1,"DUPLICADO","OK"))</f>
        <v>OK</v>
      </c>
    </row>
    <row r="438" spans="1:3">
      <c r="A438">
        <f>Ubicaciones!A426</f>
        <v>0</v>
      </c>
      <c r="B438" t="str">
        <f>IF(A438="","",IF(COUNTIF(Indicadores!$A$2:$A$501,A438)=0,"FALTA","OK"))</f>
        <v>FALTA</v>
      </c>
      <c r="C438" t="str">
        <f>IF(A438="","",IF(COUNTIF(Ubicaciones!$A$2:$A$501,A438)&gt;1,"DUPLICADO","OK"))</f>
        <v>OK</v>
      </c>
    </row>
    <row r="439" spans="1:3">
      <c r="A439">
        <f>Ubicaciones!A427</f>
        <v>0</v>
      </c>
      <c r="B439" t="str">
        <f>IF(A439="","",IF(COUNTIF(Indicadores!$A$2:$A$501,A439)=0,"FALTA","OK"))</f>
        <v>FALTA</v>
      </c>
      <c r="C439" t="str">
        <f>IF(A439="","",IF(COUNTIF(Ubicaciones!$A$2:$A$501,A439)&gt;1,"DUPLICADO","OK"))</f>
        <v>OK</v>
      </c>
    </row>
    <row r="440" spans="1:3">
      <c r="A440">
        <f>Ubicaciones!A428</f>
        <v>0</v>
      </c>
      <c r="B440" t="str">
        <f>IF(A440="","",IF(COUNTIF(Indicadores!$A$2:$A$501,A440)=0,"FALTA","OK"))</f>
        <v>FALTA</v>
      </c>
      <c r="C440" t="str">
        <f>IF(A440="","",IF(COUNTIF(Ubicaciones!$A$2:$A$501,A440)&gt;1,"DUPLICADO","OK"))</f>
        <v>OK</v>
      </c>
    </row>
    <row r="441" spans="1:3">
      <c r="A441">
        <f>Ubicaciones!A429</f>
        <v>0</v>
      </c>
      <c r="B441" t="str">
        <f>IF(A441="","",IF(COUNTIF(Indicadores!$A$2:$A$501,A441)=0,"FALTA","OK"))</f>
        <v>FALTA</v>
      </c>
      <c r="C441" t="str">
        <f>IF(A441="","",IF(COUNTIF(Ubicaciones!$A$2:$A$501,A441)&gt;1,"DUPLICADO","OK"))</f>
        <v>OK</v>
      </c>
    </row>
    <row r="442" spans="1:3">
      <c r="A442">
        <f>Ubicaciones!A430</f>
        <v>0</v>
      </c>
      <c r="B442" t="str">
        <f>IF(A442="","",IF(COUNTIF(Indicadores!$A$2:$A$501,A442)=0,"FALTA","OK"))</f>
        <v>FALTA</v>
      </c>
      <c r="C442" t="str">
        <f>IF(A442="","",IF(COUNTIF(Ubicaciones!$A$2:$A$501,A442)&gt;1,"DUPLICADO","OK"))</f>
        <v>OK</v>
      </c>
    </row>
    <row r="443" spans="1:3">
      <c r="A443">
        <f>Ubicaciones!A431</f>
        <v>0</v>
      </c>
      <c r="B443" t="str">
        <f>IF(A443="","",IF(COUNTIF(Indicadores!$A$2:$A$501,A443)=0,"FALTA","OK"))</f>
        <v>FALTA</v>
      </c>
      <c r="C443" t="str">
        <f>IF(A443="","",IF(COUNTIF(Ubicaciones!$A$2:$A$501,A443)&gt;1,"DUPLICADO","OK"))</f>
        <v>OK</v>
      </c>
    </row>
    <row r="444" spans="1:3">
      <c r="A444">
        <f>Ubicaciones!A432</f>
        <v>0</v>
      </c>
      <c r="B444" t="str">
        <f>IF(A444="","",IF(COUNTIF(Indicadores!$A$2:$A$501,A444)=0,"FALTA","OK"))</f>
        <v>FALTA</v>
      </c>
      <c r="C444" t="str">
        <f>IF(A444="","",IF(COUNTIF(Ubicaciones!$A$2:$A$501,A444)&gt;1,"DUPLICADO","OK"))</f>
        <v>OK</v>
      </c>
    </row>
    <row r="445" spans="1:3">
      <c r="A445">
        <f>Ubicaciones!A433</f>
        <v>0</v>
      </c>
      <c r="B445" t="str">
        <f>IF(A445="","",IF(COUNTIF(Indicadores!$A$2:$A$501,A445)=0,"FALTA","OK"))</f>
        <v>FALTA</v>
      </c>
      <c r="C445" t="str">
        <f>IF(A445="","",IF(COUNTIF(Ubicaciones!$A$2:$A$501,A445)&gt;1,"DUPLICADO","OK"))</f>
        <v>OK</v>
      </c>
    </row>
    <row r="446" spans="1:3">
      <c r="A446">
        <f>Ubicaciones!A434</f>
        <v>0</v>
      </c>
      <c r="B446" t="str">
        <f>IF(A446="","",IF(COUNTIF(Indicadores!$A$2:$A$501,A446)=0,"FALTA","OK"))</f>
        <v>FALTA</v>
      </c>
      <c r="C446" t="str">
        <f>IF(A446="","",IF(COUNTIF(Ubicaciones!$A$2:$A$501,A446)&gt;1,"DUPLICADO","OK"))</f>
        <v>OK</v>
      </c>
    </row>
    <row r="447" spans="1:3">
      <c r="A447">
        <f>Ubicaciones!A435</f>
        <v>0</v>
      </c>
      <c r="B447" t="str">
        <f>IF(A447="","",IF(COUNTIF(Indicadores!$A$2:$A$501,A447)=0,"FALTA","OK"))</f>
        <v>FALTA</v>
      </c>
      <c r="C447" t="str">
        <f>IF(A447="","",IF(COUNTIF(Ubicaciones!$A$2:$A$501,A447)&gt;1,"DUPLICADO","OK"))</f>
        <v>OK</v>
      </c>
    </row>
    <row r="448" spans="1:3">
      <c r="A448">
        <f>Ubicaciones!A436</f>
        <v>0</v>
      </c>
      <c r="B448" t="str">
        <f>IF(A448="","",IF(COUNTIF(Indicadores!$A$2:$A$501,A448)=0,"FALTA","OK"))</f>
        <v>FALTA</v>
      </c>
      <c r="C448" t="str">
        <f>IF(A448="","",IF(COUNTIF(Ubicaciones!$A$2:$A$501,A448)&gt;1,"DUPLICADO","OK"))</f>
        <v>OK</v>
      </c>
    </row>
    <row r="449" spans="1:3">
      <c r="A449">
        <f>Ubicaciones!A437</f>
        <v>0</v>
      </c>
      <c r="B449" t="str">
        <f>IF(A449="","",IF(COUNTIF(Indicadores!$A$2:$A$501,A449)=0,"FALTA","OK"))</f>
        <v>FALTA</v>
      </c>
      <c r="C449" t="str">
        <f>IF(A449="","",IF(COUNTIF(Ubicaciones!$A$2:$A$501,A449)&gt;1,"DUPLICADO","OK"))</f>
        <v>OK</v>
      </c>
    </row>
    <row r="450" spans="1:3">
      <c r="A450">
        <f>Ubicaciones!A438</f>
        <v>0</v>
      </c>
      <c r="B450" t="str">
        <f>IF(A450="","",IF(COUNTIF(Indicadores!$A$2:$A$501,A450)=0,"FALTA","OK"))</f>
        <v>FALTA</v>
      </c>
      <c r="C450" t="str">
        <f>IF(A450="","",IF(COUNTIF(Ubicaciones!$A$2:$A$501,A450)&gt;1,"DUPLICADO","OK"))</f>
        <v>OK</v>
      </c>
    </row>
    <row r="451" spans="1:3">
      <c r="A451">
        <f>Ubicaciones!A439</f>
        <v>0</v>
      </c>
      <c r="B451" t="str">
        <f>IF(A451="","",IF(COUNTIF(Indicadores!$A$2:$A$501,A451)=0,"FALTA","OK"))</f>
        <v>FALTA</v>
      </c>
      <c r="C451" t="str">
        <f>IF(A451="","",IF(COUNTIF(Ubicaciones!$A$2:$A$501,A451)&gt;1,"DUPLICADO","OK"))</f>
        <v>OK</v>
      </c>
    </row>
    <row r="452" spans="1:3">
      <c r="A452">
        <f>Ubicaciones!A440</f>
        <v>0</v>
      </c>
      <c r="B452" t="str">
        <f>IF(A452="","",IF(COUNTIF(Indicadores!$A$2:$A$501,A452)=0,"FALTA","OK"))</f>
        <v>FALTA</v>
      </c>
      <c r="C452" t="str">
        <f>IF(A452="","",IF(COUNTIF(Ubicaciones!$A$2:$A$501,A452)&gt;1,"DUPLICADO","OK"))</f>
        <v>OK</v>
      </c>
    </row>
    <row r="453" spans="1:3">
      <c r="A453">
        <f>Ubicaciones!A441</f>
        <v>0</v>
      </c>
      <c r="B453" t="str">
        <f>IF(A453="","",IF(COUNTIF(Indicadores!$A$2:$A$501,A453)=0,"FALTA","OK"))</f>
        <v>FALTA</v>
      </c>
      <c r="C453" t="str">
        <f>IF(A453="","",IF(COUNTIF(Ubicaciones!$A$2:$A$501,A453)&gt;1,"DUPLICADO","OK"))</f>
        <v>OK</v>
      </c>
    </row>
    <row r="454" spans="1:3">
      <c r="A454">
        <f>Ubicaciones!A442</f>
        <v>0</v>
      </c>
      <c r="B454" t="str">
        <f>IF(A454="","",IF(COUNTIF(Indicadores!$A$2:$A$501,A454)=0,"FALTA","OK"))</f>
        <v>FALTA</v>
      </c>
      <c r="C454" t="str">
        <f>IF(A454="","",IF(COUNTIF(Ubicaciones!$A$2:$A$501,A454)&gt;1,"DUPLICADO","OK"))</f>
        <v>OK</v>
      </c>
    </row>
    <row r="455" spans="1:3">
      <c r="A455">
        <f>Ubicaciones!A443</f>
        <v>0</v>
      </c>
      <c r="B455" t="str">
        <f>IF(A455="","",IF(COUNTIF(Indicadores!$A$2:$A$501,A455)=0,"FALTA","OK"))</f>
        <v>FALTA</v>
      </c>
      <c r="C455" t="str">
        <f>IF(A455="","",IF(COUNTIF(Ubicaciones!$A$2:$A$501,A455)&gt;1,"DUPLICADO","OK"))</f>
        <v>OK</v>
      </c>
    </row>
    <row r="456" spans="1:3">
      <c r="A456">
        <f>Ubicaciones!A444</f>
        <v>0</v>
      </c>
      <c r="B456" t="str">
        <f>IF(A456="","",IF(COUNTIF(Indicadores!$A$2:$A$501,A456)=0,"FALTA","OK"))</f>
        <v>FALTA</v>
      </c>
      <c r="C456" t="str">
        <f>IF(A456="","",IF(COUNTIF(Ubicaciones!$A$2:$A$501,A456)&gt;1,"DUPLICADO","OK"))</f>
        <v>OK</v>
      </c>
    </row>
    <row r="457" spans="1:3">
      <c r="A457">
        <f>Ubicaciones!A445</f>
        <v>0</v>
      </c>
      <c r="B457" t="str">
        <f>IF(A457="","",IF(COUNTIF(Indicadores!$A$2:$A$501,A457)=0,"FALTA","OK"))</f>
        <v>FALTA</v>
      </c>
      <c r="C457" t="str">
        <f>IF(A457="","",IF(COUNTIF(Ubicaciones!$A$2:$A$501,A457)&gt;1,"DUPLICADO","OK"))</f>
        <v>OK</v>
      </c>
    </row>
    <row r="458" spans="1:3">
      <c r="A458">
        <f>Ubicaciones!A446</f>
        <v>0</v>
      </c>
      <c r="B458" t="str">
        <f>IF(A458="","",IF(COUNTIF(Indicadores!$A$2:$A$501,A458)=0,"FALTA","OK"))</f>
        <v>FALTA</v>
      </c>
      <c r="C458" t="str">
        <f>IF(A458="","",IF(COUNTIF(Ubicaciones!$A$2:$A$501,A458)&gt;1,"DUPLICADO","OK"))</f>
        <v>OK</v>
      </c>
    </row>
    <row r="459" spans="1:3">
      <c r="A459">
        <f>Ubicaciones!A447</f>
        <v>0</v>
      </c>
      <c r="B459" t="str">
        <f>IF(A459="","",IF(COUNTIF(Indicadores!$A$2:$A$501,A459)=0,"FALTA","OK"))</f>
        <v>FALTA</v>
      </c>
      <c r="C459" t="str">
        <f>IF(A459="","",IF(COUNTIF(Ubicaciones!$A$2:$A$501,A459)&gt;1,"DUPLICADO","OK"))</f>
        <v>OK</v>
      </c>
    </row>
    <row r="460" spans="1:3">
      <c r="A460">
        <f>Ubicaciones!A448</f>
        <v>0</v>
      </c>
      <c r="B460" t="str">
        <f>IF(A460="","",IF(COUNTIF(Indicadores!$A$2:$A$501,A460)=0,"FALTA","OK"))</f>
        <v>FALTA</v>
      </c>
      <c r="C460" t="str">
        <f>IF(A460="","",IF(COUNTIF(Ubicaciones!$A$2:$A$501,A460)&gt;1,"DUPLICADO","OK"))</f>
        <v>OK</v>
      </c>
    </row>
    <row r="461" spans="1:3">
      <c r="A461">
        <f>Ubicaciones!A449</f>
        <v>0</v>
      </c>
      <c r="B461" t="str">
        <f>IF(A461="","",IF(COUNTIF(Indicadores!$A$2:$A$501,A461)=0,"FALTA","OK"))</f>
        <v>FALTA</v>
      </c>
      <c r="C461" t="str">
        <f>IF(A461="","",IF(COUNTIF(Ubicaciones!$A$2:$A$501,A461)&gt;1,"DUPLICADO","OK"))</f>
        <v>OK</v>
      </c>
    </row>
    <row r="462" spans="1:3">
      <c r="A462">
        <f>Ubicaciones!A450</f>
        <v>0</v>
      </c>
      <c r="B462" t="str">
        <f>IF(A462="","",IF(COUNTIF(Indicadores!$A$2:$A$501,A462)=0,"FALTA","OK"))</f>
        <v>FALTA</v>
      </c>
      <c r="C462" t="str">
        <f>IF(A462="","",IF(COUNTIF(Ubicaciones!$A$2:$A$501,A462)&gt;1,"DUPLICADO","OK"))</f>
        <v>OK</v>
      </c>
    </row>
    <row r="463" spans="1:3">
      <c r="A463">
        <f>Ubicaciones!A451</f>
        <v>0</v>
      </c>
      <c r="B463" t="str">
        <f>IF(A463="","",IF(COUNTIF(Indicadores!$A$2:$A$501,A463)=0,"FALTA","OK"))</f>
        <v>FALTA</v>
      </c>
      <c r="C463" t="str">
        <f>IF(A463="","",IF(COUNTIF(Ubicaciones!$A$2:$A$501,A463)&gt;1,"DUPLICADO","OK"))</f>
        <v>OK</v>
      </c>
    </row>
    <row r="464" spans="1:3">
      <c r="A464">
        <f>Ubicaciones!A452</f>
        <v>0</v>
      </c>
      <c r="B464" t="str">
        <f>IF(A464="","",IF(COUNTIF(Indicadores!$A$2:$A$501,A464)=0,"FALTA","OK"))</f>
        <v>FALTA</v>
      </c>
      <c r="C464" t="str">
        <f>IF(A464="","",IF(COUNTIF(Ubicaciones!$A$2:$A$501,A464)&gt;1,"DUPLICADO","OK"))</f>
        <v>OK</v>
      </c>
    </row>
    <row r="465" spans="1:3">
      <c r="A465">
        <f>Ubicaciones!A453</f>
        <v>0</v>
      </c>
      <c r="B465" t="str">
        <f>IF(A465="","",IF(COUNTIF(Indicadores!$A$2:$A$501,A465)=0,"FALTA","OK"))</f>
        <v>FALTA</v>
      </c>
      <c r="C465" t="str">
        <f>IF(A465="","",IF(COUNTIF(Ubicaciones!$A$2:$A$501,A465)&gt;1,"DUPLICADO","OK"))</f>
        <v>OK</v>
      </c>
    </row>
    <row r="466" spans="1:3">
      <c r="A466">
        <f>Ubicaciones!A454</f>
        <v>0</v>
      </c>
      <c r="B466" t="str">
        <f>IF(A466="","",IF(COUNTIF(Indicadores!$A$2:$A$501,A466)=0,"FALTA","OK"))</f>
        <v>FALTA</v>
      </c>
      <c r="C466" t="str">
        <f>IF(A466="","",IF(COUNTIF(Ubicaciones!$A$2:$A$501,A466)&gt;1,"DUPLICADO","OK"))</f>
        <v>OK</v>
      </c>
    </row>
    <row r="467" spans="1:3">
      <c r="A467">
        <f>Ubicaciones!A455</f>
        <v>0</v>
      </c>
      <c r="B467" t="str">
        <f>IF(A467="","",IF(COUNTIF(Indicadores!$A$2:$A$501,A467)=0,"FALTA","OK"))</f>
        <v>FALTA</v>
      </c>
      <c r="C467" t="str">
        <f>IF(A467="","",IF(COUNTIF(Ubicaciones!$A$2:$A$501,A467)&gt;1,"DUPLICADO","OK"))</f>
        <v>OK</v>
      </c>
    </row>
    <row r="468" spans="1:3">
      <c r="A468">
        <f>Ubicaciones!A456</f>
        <v>0</v>
      </c>
      <c r="B468" t="str">
        <f>IF(A468="","",IF(COUNTIF(Indicadores!$A$2:$A$501,A468)=0,"FALTA","OK"))</f>
        <v>FALTA</v>
      </c>
      <c r="C468" t="str">
        <f>IF(A468="","",IF(COUNTIF(Ubicaciones!$A$2:$A$501,A468)&gt;1,"DUPLICADO","OK"))</f>
        <v>OK</v>
      </c>
    </row>
    <row r="469" spans="1:3">
      <c r="A469">
        <f>Ubicaciones!A457</f>
        <v>0</v>
      </c>
      <c r="B469" t="str">
        <f>IF(A469="","",IF(COUNTIF(Indicadores!$A$2:$A$501,A469)=0,"FALTA","OK"))</f>
        <v>FALTA</v>
      </c>
      <c r="C469" t="str">
        <f>IF(A469="","",IF(COUNTIF(Ubicaciones!$A$2:$A$501,A469)&gt;1,"DUPLICADO","OK"))</f>
        <v>OK</v>
      </c>
    </row>
    <row r="470" spans="1:3">
      <c r="A470">
        <f>Ubicaciones!A458</f>
        <v>0</v>
      </c>
      <c r="B470" t="str">
        <f>IF(A470="","",IF(COUNTIF(Indicadores!$A$2:$A$501,A470)=0,"FALTA","OK"))</f>
        <v>FALTA</v>
      </c>
      <c r="C470" t="str">
        <f>IF(A470="","",IF(COUNTIF(Ubicaciones!$A$2:$A$501,A470)&gt;1,"DUPLICADO","OK"))</f>
        <v>OK</v>
      </c>
    </row>
    <row r="471" spans="1:3">
      <c r="A471">
        <f>Ubicaciones!A459</f>
        <v>0</v>
      </c>
      <c r="B471" t="str">
        <f>IF(A471="","",IF(COUNTIF(Indicadores!$A$2:$A$501,A471)=0,"FALTA","OK"))</f>
        <v>FALTA</v>
      </c>
      <c r="C471" t="str">
        <f>IF(A471="","",IF(COUNTIF(Ubicaciones!$A$2:$A$501,A471)&gt;1,"DUPLICADO","OK"))</f>
        <v>OK</v>
      </c>
    </row>
    <row r="472" spans="1:3">
      <c r="A472">
        <f>Ubicaciones!A460</f>
        <v>0</v>
      </c>
      <c r="B472" t="str">
        <f>IF(A472="","",IF(COUNTIF(Indicadores!$A$2:$A$501,A472)=0,"FALTA","OK"))</f>
        <v>FALTA</v>
      </c>
      <c r="C472" t="str">
        <f>IF(A472="","",IF(COUNTIF(Ubicaciones!$A$2:$A$501,A472)&gt;1,"DUPLICADO","OK"))</f>
        <v>OK</v>
      </c>
    </row>
    <row r="473" spans="1:3">
      <c r="A473">
        <f>Ubicaciones!A461</f>
        <v>0</v>
      </c>
      <c r="B473" t="str">
        <f>IF(A473="","",IF(COUNTIF(Indicadores!$A$2:$A$501,A473)=0,"FALTA","OK"))</f>
        <v>FALTA</v>
      </c>
      <c r="C473" t="str">
        <f>IF(A473="","",IF(COUNTIF(Ubicaciones!$A$2:$A$501,A473)&gt;1,"DUPLICADO","OK"))</f>
        <v>OK</v>
      </c>
    </row>
    <row r="474" spans="1:3">
      <c r="A474">
        <f>Ubicaciones!A462</f>
        <v>0</v>
      </c>
      <c r="B474" t="str">
        <f>IF(A474="","",IF(COUNTIF(Indicadores!$A$2:$A$501,A474)=0,"FALTA","OK"))</f>
        <v>FALTA</v>
      </c>
      <c r="C474" t="str">
        <f>IF(A474="","",IF(COUNTIF(Ubicaciones!$A$2:$A$501,A474)&gt;1,"DUPLICADO","OK"))</f>
        <v>OK</v>
      </c>
    </row>
    <row r="475" spans="1:3">
      <c r="A475">
        <f>Ubicaciones!A463</f>
        <v>0</v>
      </c>
      <c r="B475" t="str">
        <f>IF(A475="","",IF(COUNTIF(Indicadores!$A$2:$A$501,A475)=0,"FALTA","OK"))</f>
        <v>FALTA</v>
      </c>
      <c r="C475" t="str">
        <f>IF(A475="","",IF(COUNTIF(Ubicaciones!$A$2:$A$501,A475)&gt;1,"DUPLICADO","OK"))</f>
        <v>OK</v>
      </c>
    </row>
    <row r="476" spans="1:3">
      <c r="A476">
        <f>Ubicaciones!A464</f>
        <v>0</v>
      </c>
      <c r="B476" t="str">
        <f>IF(A476="","",IF(COUNTIF(Indicadores!$A$2:$A$501,A476)=0,"FALTA","OK"))</f>
        <v>FALTA</v>
      </c>
      <c r="C476" t="str">
        <f>IF(A476="","",IF(COUNTIF(Ubicaciones!$A$2:$A$501,A476)&gt;1,"DUPLICADO","OK"))</f>
        <v>OK</v>
      </c>
    </row>
    <row r="477" spans="1:3">
      <c r="A477">
        <f>Ubicaciones!A465</f>
        <v>0</v>
      </c>
      <c r="B477" t="str">
        <f>IF(A477="","",IF(COUNTIF(Indicadores!$A$2:$A$501,A477)=0,"FALTA","OK"))</f>
        <v>FALTA</v>
      </c>
      <c r="C477" t="str">
        <f>IF(A477="","",IF(COUNTIF(Ubicaciones!$A$2:$A$501,A477)&gt;1,"DUPLICADO","OK"))</f>
        <v>OK</v>
      </c>
    </row>
    <row r="478" spans="1:3">
      <c r="A478">
        <f>Ubicaciones!A466</f>
        <v>0</v>
      </c>
      <c r="B478" t="str">
        <f>IF(A478="","",IF(COUNTIF(Indicadores!$A$2:$A$501,A478)=0,"FALTA","OK"))</f>
        <v>FALTA</v>
      </c>
      <c r="C478" t="str">
        <f>IF(A478="","",IF(COUNTIF(Ubicaciones!$A$2:$A$501,A478)&gt;1,"DUPLICADO","OK"))</f>
        <v>OK</v>
      </c>
    </row>
    <row r="479" spans="1:3">
      <c r="A479">
        <f>Ubicaciones!A467</f>
        <v>0</v>
      </c>
      <c r="B479" t="str">
        <f>IF(A479="","",IF(COUNTIF(Indicadores!$A$2:$A$501,A479)=0,"FALTA","OK"))</f>
        <v>FALTA</v>
      </c>
      <c r="C479" t="str">
        <f>IF(A479="","",IF(COUNTIF(Ubicaciones!$A$2:$A$501,A479)&gt;1,"DUPLICADO","OK"))</f>
        <v>OK</v>
      </c>
    </row>
    <row r="480" spans="1:3">
      <c r="A480">
        <f>Ubicaciones!A468</f>
        <v>0</v>
      </c>
      <c r="B480" t="str">
        <f>IF(A480="","",IF(COUNTIF(Indicadores!$A$2:$A$501,A480)=0,"FALTA","OK"))</f>
        <v>FALTA</v>
      </c>
      <c r="C480" t="str">
        <f>IF(A480="","",IF(COUNTIF(Ubicaciones!$A$2:$A$501,A480)&gt;1,"DUPLICADO","OK"))</f>
        <v>OK</v>
      </c>
    </row>
    <row r="481" spans="1:3">
      <c r="A481">
        <f>Ubicaciones!A469</f>
        <v>0</v>
      </c>
      <c r="B481" t="str">
        <f>IF(A481="","",IF(COUNTIF(Indicadores!$A$2:$A$501,A481)=0,"FALTA","OK"))</f>
        <v>FALTA</v>
      </c>
      <c r="C481" t="str">
        <f>IF(A481="","",IF(COUNTIF(Ubicaciones!$A$2:$A$501,A481)&gt;1,"DUPLICADO","OK"))</f>
        <v>OK</v>
      </c>
    </row>
    <row r="482" spans="1:3">
      <c r="A482">
        <f>Ubicaciones!A470</f>
        <v>0</v>
      </c>
      <c r="B482" t="str">
        <f>IF(A482="","",IF(COUNTIF(Indicadores!$A$2:$A$501,A482)=0,"FALTA","OK"))</f>
        <v>FALTA</v>
      </c>
      <c r="C482" t="str">
        <f>IF(A482="","",IF(COUNTIF(Ubicaciones!$A$2:$A$501,A482)&gt;1,"DUPLICADO","OK"))</f>
        <v>OK</v>
      </c>
    </row>
    <row r="483" spans="1:3">
      <c r="A483">
        <f>Ubicaciones!A471</f>
        <v>0</v>
      </c>
      <c r="B483" t="str">
        <f>IF(A483="","",IF(COUNTIF(Indicadores!$A$2:$A$501,A483)=0,"FALTA","OK"))</f>
        <v>FALTA</v>
      </c>
      <c r="C483" t="str">
        <f>IF(A483="","",IF(COUNTIF(Ubicaciones!$A$2:$A$501,A483)&gt;1,"DUPLICADO","OK"))</f>
        <v>OK</v>
      </c>
    </row>
    <row r="484" spans="1:3">
      <c r="A484">
        <f>Ubicaciones!A472</f>
        <v>0</v>
      </c>
      <c r="B484" t="str">
        <f>IF(A484="","",IF(COUNTIF(Indicadores!$A$2:$A$501,A484)=0,"FALTA","OK"))</f>
        <v>FALTA</v>
      </c>
      <c r="C484" t="str">
        <f>IF(A484="","",IF(COUNTIF(Ubicaciones!$A$2:$A$501,A484)&gt;1,"DUPLICADO","OK"))</f>
        <v>OK</v>
      </c>
    </row>
    <row r="485" spans="1:3">
      <c r="A485">
        <f>Ubicaciones!A473</f>
        <v>0</v>
      </c>
      <c r="B485" t="str">
        <f>IF(A485="","",IF(COUNTIF(Indicadores!$A$2:$A$501,A485)=0,"FALTA","OK"))</f>
        <v>FALTA</v>
      </c>
      <c r="C485" t="str">
        <f>IF(A485="","",IF(COUNTIF(Ubicaciones!$A$2:$A$501,A485)&gt;1,"DUPLICADO","OK"))</f>
        <v>OK</v>
      </c>
    </row>
    <row r="486" spans="1:3">
      <c r="A486">
        <f>Ubicaciones!A474</f>
        <v>0</v>
      </c>
      <c r="B486" t="str">
        <f>IF(A486="","",IF(COUNTIF(Indicadores!$A$2:$A$501,A486)=0,"FALTA","OK"))</f>
        <v>FALTA</v>
      </c>
      <c r="C486" t="str">
        <f>IF(A486="","",IF(COUNTIF(Ubicaciones!$A$2:$A$501,A486)&gt;1,"DUPLICADO","OK"))</f>
        <v>OK</v>
      </c>
    </row>
    <row r="487" spans="1:3">
      <c r="A487">
        <f>Ubicaciones!A475</f>
        <v>0</v>
      </c>
      <c r="B487" t="str">
        <f>IF(A487="","",IF(COUNTIF(Indicadores!$A$2:$A$501,A487)=0,"FALTA","OK"))</f>
        <v>FALTA</v>
      </c>
      <c r="C487" t="str">
        <f>IF(A487="","",IF(COUNTIF(Ubicaciones!$A$2:$A$501,A487)&gt;1,"DUPLICADO","OK"))</f>
        <v>OK</v>
      </c>
    </row>
    <row r="488" spans="1:3">
      <c r="A488">
        <f>Ubicaciones!A476</f>
        <v>0</v>
      </c>
      <c r="B488" t="str">
        <f>IF(A488="","",IF(COUNTIF(Indicadores!$A$2:$A$501,A488)=0,"FALTA","OK"))</f>
        <v>FALTA</v>
      </c>
      <c r="C488" t="str">
        <f>IF(A488="","",IF(COUNTIF(Ubicaciones!$A$2:$A$501,A488)&gt;1,"DUPLICADO","OK"))</f>
        <v>OK</v>
      </c>
    </row>
    <row r="489" spans="1:3">
      <c r="A489">
        <f>Ubicaciones!A477</f>
        <v>0</v>
      </c>
      <c r="B489" t="str">
        <f>IF(A489="","",IF(COUNTIF(Indicadores!$A$2:$A$501,A489)=0,"FALTA","OK"))</f>
        <v>FALTA</v>
      </c>
      <c r="C489" t="str">
        <f>IF(A489="","",IF(COUNTIF(Ubicaciones!$A$2:$A$501,A489)&gt;1,"DUPLICADO","OK"))</f>
        <v>OK</v>
      </c>
    </row>
    <row r="490" spans="1:3">
      <c r="A490">
        <f>Ubicaciones!A478</f>
        <v>0</v>
      </c>
      <c r="B490" t="str">
        <f>IF(A490="","",IF(COUNTIF(Indicadores!$A$2:$A$501,A490)=0,"FALTA","OK"))</f>
        <v>FALTA</v>
      </c>
      <c r="C490" t="str">
        <f>IF(A490="","",IF(COUNTIF(Ubicaciones!$A$2:$A$501,A490)&gt;1,"DUPLICADO","OK"))</f>
        <v>OK</v>
      </c>
    </row>
    <row r="491" spans="1:3">
      <c r="A491">
        <f>Ubicaciones!A479</f>
        <v>0</v>
      </c>
      <c r="B491" t="str">
        <f>IF(A491="","",IF(COUNTIF(Indicadores!$A$2:$A$501,A491)=0,"FALTA","OK"))</f>
        <v>FALTA</v>
      </c>
      <c r="C491" t="str">
        <f>IF(A491="","",IF(COUNTIF(Ubicaciones!$A$2:$A$501,A491)&gt;1,"DUPLICADO","OK"))</f>
        <v>OK</v>
      </c>
    </row>
    <row r="492" spans="1:3">
      <c r="A492">
        <f>Ubicaciones!A480</f>
        <v>0</v>
      </c>
      <c r="B492" t="str">
        <f>IF(A492="","",IF(COUNTIF(Indicadores!$A$2:$A$501,A492)=0,"FALTA","OK"))</f>
        <v>FALTA</v>
      </c>
      <c r="C492" t="str">
        <f>IF(A492="","",IF(COUNTIF(Ubicaciones!$A$2:$A$501,A492)&gt;1,"DUPLICADO","OK"))</f>
        <v>OK</v>
      </c>
    </row>
    <row r="493" spans="1:3">
      <c r="A493">
        <f>Ubicaciones!A481</f>
        <v>0</v>
      </c>
      <c r="B493" t="str">
        <f>IF(A493="","",IF(COUNTIF(Indicadores!$A$2:$A$501,A493)=0,"FALTA","OK"))</f>
        <v>FALTA</v>
      </c>
      <c r="C493" t="str">
        <f>IF(A493="","",IF(COUNTIF(Ubicaciones!$A$2:$A$501,A493)&gt;1,"DUPLICADO","OK"))</f>
        <v>OK</v>
      </c>
    </row>
    <row r="494" spans="1:3">
      <c r="A494">
        <f>Ubicaciones!A482</f>
        <v>0</v>
      </c>
      <c r="B494" t="str">
        <f>IF(A494="","",IF(COUNTIF(Indicadores!$A$2:$A$501,A494)=0,"FALTA","OK"))</f>
        <v>FALTA</v>
      </c>
      <c r="C494" t="str">
        <f>IF(A494="","",IF(COUNTIF(Ubicaciones!$A$2:$A$501,A494)&gt;1,"DUPLICADO","OK"))</f>
        <v>OK</v>
      </c>
    </row>
    <row r="495" spans="1:3">
      <c r="A495">
        <f>Ubicaciones!A483</f>
        <v>0</v>
      </c>
      <c r="B495" t="str">
        <f>IF(A495="","",IF(COUNTIF(Indicadores!$A$2:$A$501,A495)=0,"FALTA","OK"))</f>
        <v>FALTA</v>
      </c>
      <c r="C495" t="str">
        <f>IF(A495="","",IF(COUNTIF(Ubicaciones!$A$2:$A$501,A495)&gt;1,"DUPLICADO","OK"))</f>
        <v>OK</v>
      </c>
    </row>
    <row r="496" spans="1:3">
      <c r="A496">
        <f>Ubicaciones!A484</f>
        <v>0</v>
      </c>
      <c r="B496" t="str">
        <f>IF(A496="","",IF(COUNTIF(Indicadores!$A$2:$A$501,A496)=0,"FALTA","OK"))</f>
        <v>FALTA</v>
      </c>
      <c r="C496" t="str">
        <f>IF(A496="","",IF(COUNTIF(Ubicaciones!$A$2:$A$501,A496)&gt;1,"DUPLICADO","OK"))</f>
        <v>OK</v>
      </c>
    </row>
    <row r="497" spans="1:3">
      <c r="A497">
        <f>Ubicaciones!A485</f>
        <v>0</v>
      </c>
      <c r="B497" t="str">
        <f>IF(A497="","",IF(COUNTIF(Indicadores!$A$2:$A$501,A497)=0,"FALTA","OK"))</f>
        <v>FALTA</v>
      </c>
      <c r="C497" t="str">
        <f>IF(A497="","",IF(COUNTIF(Ubicaciones!$A$2:$A$501,A497)&gt;1,"DUPLICADO","OK"))</f>
        <v>OK</v>
      </c>
    </row>
    <row r="498" spans="1:3">
      <c r="A498">
        <f>Ubicaciones!A486</f>
        <v>0</v>
      </c>
      <c r="B498" t="str">
        <f>IF(A498="","",IF(COUNTIF(Indicadores!$A$2:$A$501,A498)=0,"FALTA","OK"))</f>
        <v>FALTA</v>
      </c>
      <c r="C498" t="str">
        <f>IF(A498="","",IF(COUNTIF(Ubicaciones!$A$2:$A$501,A498)&gt;1,"DUPLICADO","OK"))</f>
        <v>OK</v>
      </c>
    </row>
    <row r="499" spans="1:3">
      <c r="A499">
        <f>Ubicaciones!A487</f>
        <v>0</v>
      </c>
      <c r="B499" t="str">
        <f>IF(A499="","",IF(COUNTIF(Indicadores!$A$2:$A$501,A499)=0,"FALTA","OK"))</f>
        <v>FALTA</v>
      </c>
      <c r="C499" t="str">
        <f>IF(A499="","",IF(COUNTIF(Ubicaciones!$A$2:$A$501,A499)&gt;1,"DUPLICADO","OK"))</f>
        <v>OK</v>
      </c>
    </row>
    <row r="500" spans="1:3">
      <c r="A500">
        <f>Ubicaciones!A488</f>
        <v>0</v>
      </c>
      <c r="B500" t="str">
        <f>IF(A500="","",IF(COUNTIF(Indicadores!$A$2:$A$501,A500)=0,"FALTA","OK"))</f>
        <v>FALTA</v>
      </c>
      <c r="C500" t="str">
        <f>IF(A500="","",IF(COUNTIF(Ubicaciones!$A$2:$A$501,A500)&gt;1,"DUPLICADO","OK"))</f>
        <v>OK</v>
      </c>
    </row>
    <row r="501" spans="1:3">
      <c r="A501">
        <f>Ubicaciones!A489</f>
        <v>0</v>
      </c>
      <c r="B501" t="str">
        <f>IF(A501="","",IF(COUNTIF(Indicadores!$A$2:$A$501,A501)=0,"FALTA","OK"))</f>
        <v>FALTA</v>
      </c>
      <c r="C501" t="str">
        <f>IF(A501="","",IF(COUNTIF(Ubicaciones!$A$2:$A$501,A501)&gt;1,"DUPLICADO","OK"))</f>
        <v>OK</v>
      </c>
    </row>
    <row r="502" spans="1:3">
      <c r="A502">
        <f>Ubicaciones!A490</f>
        <v>0</v>
      </c>
      <c r="B502" t="str">
        <f>IF(A502="","",IF(COUNTIF(Indicadores!$A$2:$A$501,A502)=0,"FALTA","OK"))</f>
        <v>FALTA</v>
      </c>
      <c r="C502" t="str">
        <f>IF(A502="","",IF(COUNTIF(Ubicaciones!$A$2:$A$501,A502)&gt;1,"DUPLICADO","OK"))</f>
        <v>OK</v>
      </c>
    </row>
    <row r="503" spans="1:3">
      <c r="A503">
        <f>Ubicaciones!A491</f>
        <v>0</v>
      </c>
      <c r="B503" t="str">
        <f>IF(A503="","",IF(COUNTIF(Indicadores!$A$2:$A$501,A503)=0,"FALTA","OK"))</f>
        <v>FALTA</v>
      </c>
      <c r="C503" t="str">
        <f>IF(A503="","",IF(COUNTIF(Ubicaciones!$A$2:$A$501,A503)&gt;1,"DUPLICADO","OK"))</f>
        <v>OK</v>
      </c>
    </row>
    <row r="504" spans="1:3">
      <c r="A504">
        <f>Ubicaciones!A492</f>
        <v>0</v>
      </c>
      <c r="B504" t="str">
        <f>IF(A504="","",IF(COUNTIF(Indicadores!$A$2:$A$501,A504)=0,"FALTA","OK"))</f>
        <v>FALTA</v>
      </c>
      <c r="C504" t="str">
        <f>IF(A504="","",IF(COUNTIF(Ubicaciones!$A$2:$A$501,A504)&gt;1,"DUPLICADO","OK"))</f>
        <v>OK</v>
      </c>
    </row>
    <row r="505" spans="1:3">
      <c r="A505">
        <f>Ubicaciones!A493</f>
        <v>0</v>
      </c>
      <c r="B505" t="str">
        <f>IF(A505="","",IF(COUNTIF(Indicadores!$A$2:$A$501,A505)=0,"FALTA","OK"))</f>
        <v>FALTA</v>
      </c>
      <c r="C505" t="str">
        <f>IF(A505="","",IF(COUNTIF(Ubicaciones!$A$2:$A$501,A505)&gt;1,"DUPLICADO","OK"))</f>
        <v>OK</v>
      </c>
    </row>
    <row r="506" spans="1:3">
      <c r="A506">
        <f>Ubicaciones!A494</f>
        <v>0</v>
      </c>
      <c r="B506" t="str">
        <f>IF(A506="","",IF(COUNTIF(Indicadores!$A$2:$A$501,A506)=0,"FALTA","OK"))</f>
        <v>FALTA</v>
      </c>
      <c r="C506" t="str">
        <f>IF(A506="","",IF(COUNTIF(Ubicaciones!$A$2:$A$501,A506)&gt;1,"DUPLICADO","OK"))</f>
        <v>OK</v>
      </c>
    </row>
    <row r="507" spans="1:3">
      <c r="A507">
        <f>Ubicaciones!A495</f>
        <v>0</v>
      </c>
      <c r="B507" t="str">
        <f>IF(A507="","",IF(COUNTIF(Indicadores!$A$2:$A$501,A507)=0,"FALTA","OK"))</f>
        <v>FALTA</v>
      </c>
      <c r="C507" t="str">
        <f>IF(A507="","",IF(COUNTIF(Ubicaciones!$A$2:$A$501,A507)&gt;1,"DUPLICADO","OK"))</f>
        <v>OK</v>
      </c>
    </row>
    <row r="508" spans="1:3">
      <c r="A508">
        <f>Ubicaciones!A496</f>
        <v>0</v>
      </c>
      <c r="B508" t="str">
        <f>IF(A508="","",IF(COUNTIF(Indicadores!$A$2:$A$501,A508)=0,"FALTA","OK"))</f>
        <v>FALTA</v>
      </c>
      <c r="C508" t="str">
        <f>IF(A508="","",IF(COUNTIF(Ubicaciones!$A$2:$A$501,A508)&gt;1,"DUPLICADO","OK"))</f>
        <v>OK</v>
      </c>
    </row>
    <row r="509" spans="1:3">
      <c r="A509">
        <f>Ubicaciones!A497</f>
        <v>0</v>
      </c>
      <c r="B509" t="str">
        <f>IF(A509="","",IF(COUNTIF(Indicadores!$A$2:$A$501,A509)=0,"FALTA","OK"))</f>
        <v>FALTA</v>
      </c>
      <c r="C509" t="str">
        <f>IF(A509="","",IF(COUNTIF(Ubicaciones!$A$2:$A$501,A509)&gt;1,"DUPLICADO","OK"))</f>
        <v>OK</v>
      </c>
    </row>
    <row r="510" spans="1:3">
      <c r="A510">
        <f>Ubicaciones!A498</f>
        <v>0</v>
      </c>
      <c r="B510" t="str">
        <f>IF(A510="","",IF(COUNTIF(Indicadores!$A$2:$A$501,A510)=0,"FALTA","OK"))</f>
        <v>FALTA</v>
      </c>
      <c r="C510" t="str">
        <f>IF(A510="","",IF(COUNTIF(Ubicaciones!$A$2:$A$501,A510)&gt;1,"DUPLICADO","OK"))</f>
        <v>OK</v>
      </c>
    </row>
    <row r="511" spans="1:3">
      <c r="A511">
        <f>Ubicaciones!A499</f>
        <v>0</v>
      </c>
      <c r="B511" t="str">
        <f>IF(A511="","",IF(COUNTIF(Indicadores!$A$2:$A$501,A511)=0,"FALTA","OK"))</f>
        <v>FALTA</v>
      </c>
      <c r="C511" t="str">
        <f>IF(A511="","",IF(COUNTIF(Ubicaciones!$A$2:$A$501,A511)&gt;1,"DUPLICADO","OK"))</f>
        <v>OK</v>
      </c>
    </row>
    <row r="512" spans="1:3">
      <c r="A512">
        <f>Ubicaciones!A500</f>
        <v>0</v>
      </c>
      <c r="B512" t="str">
        <f>IF(A512="","",IF(COUNTIF(Indicadores!$A$2:$A$501,A512)=0,"FALTA","OK"))</f>
        <v>FALTA</v>
      </c>
      <c r="C512" t="str">
        <f>IF(A512="","",IF(COUNTIF(Ubicaciones!$A$2:$A$501,A512)&gt;1,"DUPLICADO","OK"))</f>
        <v>OK</v>
      </c>
    </row>
    <row r="513" spans="1:3">
      <c r="A513">
        <f>Ubicaciones!A501</f>
        <v>0</v>
      </c>
      <c r="B513" t="str">
        <f>IF(A513="","",IF(COUNTIF(Indicadores!$A$2:$A$501,A513)=0,"FALTA","OK"))</f>
        <v>FALTA</v>
      </c>
      <c r="C513" t="str">
        <f>IF(A513="","",IF(COUNTIF(Ubicaciones!$A$2:$A$501,A513)&gt;1,"DUPLICADO","OK"))</f>
        <v>OK</v>
      </c>
    </row>
  </sheetData>
  <mergeCells count="2">
    <mergeCell ref="A1:F2"/>
    <mergeCell ref="A10:F10"/>
  </mergeCells>
  <conditionalFormatting sqref="B5:B6">
    <cfRule type="cellIs" dxfId="8" priority="2" operator="equal">
      <formula>0</formula>
    </cfRule>
  </conditionalFormatting>
  <conditionalFormatting sqref="B7:B8">
    <cfRule type="cellIs" dxfId="7" priority="1" operator="greaterThan">
      <formula>0</formula>
    </cfRule>
  </conditionalFormatting>
  <conditionalFormatting sqref="B14:C513">
    <cfRule type="containsText" dxfId="6" priority="3" operator="containsText" text="FALTA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Inicio</vt:lpstr>
      <vt:lpstr>Ubicaciones</vt:lpstr>
      <vt:lpstr>Indicadores</vt:lpstr>
      <vt:lpstr>Catalogos</vt:lpstr>
      <vt:lpstr>Validacion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Enrique Cesar Flores</cp:lastModifiedBy>
  <dcterms:created xsi:type="dcterms:W3CDTF">2026-08-09T05:51:17Z</dcterms:created>
  <dcterms:modified xsi:type="dcterms:W3CDTF">2026-08-09T05:51:27Z</dcterms:modified>
</cp:coreProperties>
</file>