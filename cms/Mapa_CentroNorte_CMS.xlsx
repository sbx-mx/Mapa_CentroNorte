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b6a65feb5543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795885ce37d64fd6"/>
    <x:sheet xmlns:r="http://schemas.openxmlformats.org/officeDocument/2006/relationships" name="Ubicaciones" sheetId="2" r:id="R0b0b5f2367a84d2e"/>
    <x:sheet xmlns:r="http://schemas.openxmlformats.org/officeDocument/2006/relationships" name="Indicadores" sheetId="3" r:id="R3b060f1cab8d4f45"/>
    <x:sheet xmlns:r="http://schemas.openxmlformats.org/officeDocument/2006/relationships" name="Catalogos" sheetId="4" r:id="Ra567be7a53484f82"/>
    <x:sheet xmlns:r="http://schemas.openxmlformats.org/officeDocument/2006/relationships" name="Validacion" sheetId="5" r:id="Rb023c79d362449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"/>
    <x:numFmt numFmtId="201" formatCode="yyyy-mm-dd"/>
    <x:numFmt numFmtId="202" formatCode="0.000000"/>
    <x:numFmt numFmtId="203" formatCode="@"/>
    <x:numFmt numFmtId="204" formatCode="0.0%"/>
    <x:numFmt numFmtId="205" formatCode="&quot;$&quot;#,##0"/>
    <x:numFmt numFmtId="206" formatCode="0.0"/>
  </x:numFmts>
  <x:fonts count="8">
    <x:font>
      <x:sz val="11"/>
      <x:name val="Carlito"/>
    </x:font>
    <x:font>
      <x:b/>
      <x:sz val="22"/>
      <x:color rgb="FFFFFFFF"/>
      <x:name val="Carlito"/>
    </x:font>
    <x:font>
      <x:b/>
      <x:sz val="11"/>
      <x:color rgb="FFFFFFFF"/>
      <x:name val="Carlito"/>
    </x:font>
    <x:font>
      <x:b/>
      <x:sz val="11"/>
      <x:color rgb="FF006241"/>
      <x:name val="Carlito"/>
    </x:font>
    <x:font>
      <x:b/>
      <x:sz val="11"/>
      <x:color rgb="FF12372A"/>
      <x:name val="Carlito"/>
    </x:font>
    <x:font>
      <x:b/>
      <x:sz val="16"/>
      <x:color rgb="FF006241"/>
      <x:name val="Carlito"/>
    </x:font>
    <x:font>
      <x:i/>
      <x:sz val="11"/>
      <x:color rgb="FF12372A"/>
      <x:name val="Carlito"/>
    </x:font>
    <x:font>
      <x:b/>
      <x:sz val="20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2372A"/>
      </x:patternFill>
    </x:fill>
    <x:fill>
      <x:patternFill patternType="solid">
        <x:fgColor rgb="FFDFF2E9"/>
      </x:patternFill>
    </x:fill>
    <x:fill>
      <x:patternFill patternType="solid">
        <x:fgColor rgb="FF006241"/>
      </x:patternFill>
    </x:fill>
    <x:fill>
      <x:patternFill patternType="solid">
        <x:fgColor rgb="FFF6F3ED"/>
      </x:patternFill>
    </x:fill>
  </x:fills>
  <x:borders count="18">
    <x:border/>
    <x:border>
      <x:left style="thin">
        <x:color rgb="FFD8E0DC"/>
      </x:left>
      <x:top style="thin">
        <x:color rgb="FFD8E0DC"/>
      </x:top>
    </x:border>
    <x:border>
      <x:top style="thin">
        <x:color rgb="FFD8E0DC"/>
      </x:top>
    </x:border>
    <x:border>
      <x:right style="thin">
        <x:color rgb="FFD8E0DC"/>
      </x:right>
      <x:top style="thin">
        <x:color rgb="FFD8E0DC"/>
      </x:top>
    </x:border>
    <x:border>
      <x:left style="thin">
        <x:color rgb="FFD8E0DC"/>
      </x:left>
    </x:border>
    <x:border>
      <x:right style="thin">
        <x:color rgb="FFD8E0DC"/>
      </x:right>
    </x:border>
    <x:border>
      <x:left style="thin">
        <x:color rgb="FFD8E0DC"/>
      </x:left>
      <x:bottom style="thin">
        <x:color rgb="FFD8E0DC"/>
      </x:bottom>
    </x:border>
    <x:border>
      <x:bottom style="thin">
        <x:color rgb="FFD8E0DC"/>
      </x:bottom>
    </x:border>
    <x:border>
      <x:right style="thin">
        <x:color rgb="FFD8E0DC"/>
      </x:right>
      <x:bottom style="thin">
        <x:color rgb="FFD8E0DC"/>
      </x:bottom>
    </x:border>
    <x:border>
      <x:right style="thin">
        <x:color rgb="FFE8ECEA"/>
      </x:right>
      <x:bottom style="thin">
        <x:color rgb="FFE8ECEA"/>
      </x:bottom>
    </x:border>
    <x:border>
      <x:left style="thin">
        <x:color rgb="FFE8ECEA"/>
      </x:left>
      <x:right style="thin">
        <x:color rgb="FFE8ECEA"/>
      </x:right>
      <x:bottom style="thin">
        <x:color rgb="FFE8ECEA"/>
      </x:bottom>
    </x:border>
    <x:border>
      <x:left style="thin">
        <x:color rgb="FFE8ECEA"/>
      </x:left>
      <x:bottom style="thin">
        <x:color rgb="FFE8ECEA"/>
      </x:bottom>
    </x:border>
    <x:border>
      <x:right style="thin">
        <x:color rgb="FFE8ECEA"/>
      </x:right>
      <x:top style="thin">
        <x:color rgb="FFE8ECEA"/>
      </x:top>
      <x:bottom style="thin">
        <x:color rgb="FFE8ECEA"/>
      </x:bottom>
    </x:border>
    <x:border>
      <x:left style="thin">
        <x:color rgb="FFE8ECEA"/>
      </x:left>
      <x:right style="thin">
        <x:color rgb="FFE8ECEA"/>
      </x:right>
      <x:top style="thin">
        <x:color rgb="FFE8ECEA"/>
      </x:top>
      <x:bottom style="thin">
        <x:color rgb="FFE8ECEA"/>
      </x:bottom>
    </x:border>
    <x:border>
      <x:left style="thin">
        <x:color rgb="FFE8ECEA"/>
      </x:left>
      <x:top style="thin">
        <x:color rgb="FFE8ECEA"/>
      </x:top>
      <x:bottom style="thin">
        <x:color rgb="FFE8ECEA"/>
      </x:bottom>
    </x:border>
    <x:border>
      <x:right style="thin">
        <x:color rgb="FFE8ECEA"/>
      </x:right>
      <x:top style="thin">
        <x:color rgb="FFE8ECEA"/>
      </x:top>
    </x:border>
    <x:border>
      <x:left style="thin">
        <x:color rgb="FFE8ECEA"/>
      </x:left>
      <x:right style="thin">
        <x:color rgb="FFE8ECEA"/>
      </x:right>
      <x:top style="thin">
        <x:color rgb="FFE8ECEA"/>
      </x:top>
    </x:border>
    <x:border>
      <x:left style="thin">
        <x:color rgb="FFE8ECEA"/>
      </x:left>
      <x:top style="thin">
        <x:color rgb="FFE8ECEA"/>
      </x:top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200" fontId="5" fillId="3" borderId="0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8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8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3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 wrapText="1"/>
    </x:xf>
    <x:xf numFmtId="0" fontId="6" fillId="5" borderId="6" xfId="0" applyNumberFormat="1" applyFont="1" applyFill="1" applyBorder="1" applyAlignment="1">
      <x:alignment vertical="center" wrapText="1"/>
    </x:xf>
    <x:xf numFmtId="0" fontId="6" fillId="5" borderId="7" xfId="0" applyNumberFormat="1" applyFont="1" applyFill="1" applyBorder="1" applyAlignment="1">
      <x:alignment vertical="center" wrapText="1"/>
    </x:xf>
    <x:xf numFmtId="0" fontId="6" fillId="5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4" borderId="9" xfId="0" applyNumberFormat="1" applyFont="1" applyFill="1" applyBorder="1"/>
    <x:xf numFmtId="0" fontId="0" fillId="4" borderId="10" xfId="0" applyNumberFormat="1" applyFont="1" applyFill="1" applyBorder="1"/>
    <x:xf numFmtId="0" fontId="0" fillId="4" borderId="11" xfId="0" applyNumberFormat="1" applyFont="1" applyFill="1" applyBorder="1"/>
    <x:xf numFmtId="0" fontId="2" fillId="4" borderId="9" xfId="0" applyNumberFormat="1" applyFont="1" applyFill="1" applyBorder="1"/>
    <x:xf numFmtId="0" fontId="2" fillId="4" borderId="10" xfId="0" applyNumberFormat="1" applyFont="1" applyFill="1" applyBorder="1"/>
    <x:xf numFmtId="0" fontId="2" fillId="4" borderId="11" xfId="0" applyNumberFormat="1" applyFont="1" applyFill="1" applyBorder="1"/>
    <x:xf numFmtId="0" fontId="2" fillId="4" borderId="9" xfId="0" applyNumberFormat="1" applyFont="1" applyFill="1" applyBorder="1" applyAlignment="1">
      <x:alignment wrapText="1"/>
    </x:xf>
    <x:xf numFmtId="0" fontId="2" fillId="4" borderId="10" xfId="0" applyNumberFormat="1" applyFont="1" applyFill="1" applyBorder="1" applyAlignment="1">
      <x:alignment wrapText="1"/>
    </x:xf>
    <x:xf numFmtId="0" fontId="2" fillId="4" borderId="11" xfId="0" applyNumberFormat="1" applyFont="1" applyFill="1" applyBorder="1" applyAlignment="1">
      <x:alignment wrapText="1"/>
    </x:xf>
    <x:xf numFmtId="0" fontId="2" fillId="4" borderId="9" xfId="0" applyNumberFormat="1" applyFont="1" applyFill="1" applyBorder="1" applyAlignment="1">
      <x:alignment vertical="center" wrapText="1"/>
    </x:xf>
    <x:xf numFmtId="0" fontId="2" fillId="4" borderId="10" xfId="0" applyNumberFormat="1" applyFont="1" applyFill="1" applyBorder="1" applyAlignment="1">
      <x:alignment vertical="center" wrapText="1"/>
    </x:xf>
    <x:xf numFmtId="0" fontId="2" fillId="4" borderId="11" xfId="0" applyNumberFormat="1" applyFont="1" applyFill="1" applyBorder="1" applyAlignment="1">
      <x:alignment vertical="center" wrapText="1"/>
    </x:xf>
    <x:xf numFmtId="201" fontId="0" fillId="0" borderId="13" xfId="0" applyNumberFormat="1" applyFont="1" applyFill="1" applyBorder="1"/>
    <x:xf numFmtId="201" fontId="0" fillId="0" borderId="16" xfId="0" applyNumberFormat="1" applyFont="1" applyFill="1" applyBorder="1"/>
    <x:xf numFmtId="202" fontId="0" fillId="0" borderId="13" xfId="0" applyNumberFormat="1" applyFont="1" applyFill="1" applyBorder="1"/>
    <x:xf numFmtId="202" fontId="0" fillId="0" borderId="16" xfId="0" applyNumberFormat="1" applyFont="1" applyFill="1" applyBorder="1"/>
    <x:xf numFmtId="203" fontId="0" fillId="0" borderId="12" xfId="0" applyNumberFormat="1" applyFont="1" applyFill="1" applyBorder="1"/>
    <x:xf numFmtId="203" fontId="0" fillId="0" borderId="15" xfId="0" applyNumberFormat="1" applyFont="1" applyFill="1" applyBorder="1"/>
    <x:xf numFmtId="203" fontId="0" fillId="0" borderId="0" xfId="0" applyNumberFormat="1" applyFont="1" applyFill="1" applyBorder="1"/>
    <x:xf numFmtId="203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201" fontId="0" fillId="0" borderId="13" xfId="0" applyNumberFormat="1" applyFont="1" applyFill="1" applyBorder="1" applyAlignment="1">
      <x:alignment vertical="center"/>
    </x:xf>
    <x:xf numFmtId="202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203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201" fontId="0" fillId="0" borderId="16" xfId="0" applyNumberFormat="1" applyFont="1" applyFill="1" applyBorder="1" applyAlignment="1">
      <x:alignment vertical="center"/>
    </x:xf>
    <x:xf numFmtId="202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4">
    <x:dxf>
      <x:font>
        <x:b/>
        <x:color rgb="FF9B2C2C"/>
      </x:font>
      <x:fill>
        <x:patternFill patternType="solid">
          <x:bgColor rgb="FFFDE8E7"/>
        </x:patternFill>
      </x:fill>
    </x:dxf>
    <x:dxf>
      <x:font>
        <x:b/>
        <x:color rgb="FF7A5B00"/>
      </x:font>
      <x:fill>
        <x:patternFill patternType="solid">
          <x:bgColor rgb="FFFFF3CD"/>
        </x:patternFill>
      </x:fill>
    </x:dxf>
    <x:dxf>
      <x:font>
        <x:b/>
        <x:color rgb="FF9B2C2C"/>
      </x:font>
      <x:fill>
        <x:patternFill patternType="solid">
          <x:bgColor rgb="FFFDE8E7"/>
        </x:patternFill>
      </x:fill>
    </x:dxf>
    <x:dxf>
      <x:font>
        <x:b/>
        <x:color rgb="FF9B2C2C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3f881fde924787" /><Relationship Type="http://schemas.openxmlformats.org/officeDocument/2006/relationships/theme" Target="/xl/theme/theme1.xml" Id="R29749002de104d4e" /><Relationship Type="http://schemas.openxmlformats.org/officeDocument/2006/relationships/sharedStrings" Target="/xl/sharedStrings.xml" Id="R9e23758b6825446a" /><Relationship Type="http://schemas.openxmlformats.org/officeDocument/2006/relationships/worksheet" Target="/xl/worksheets/sheet1.xml" Id="R795885ce37d64fd6" /><Relationship Type="http://schemas.openxmlformats.org/officeDocument/2006/relationships/worksheet" Target="/xl/worksheets/sheet2.xml" Id="R0b0b5f2367a84d2e" /><Relationship Type="http://schemas.openxmlformats.org/officeDocument/2006/relationships/worksheet" Target="/xl/worksheets/sheet3.xml" Id="R3b060f1cab8d4f45" /><Relationship Type="http://schemas.openxmlformats.org/officeDocument/2006/relationships/worksheet" Target="/xl/worksheets/sheet4.xml" Id="Ra567be7a53484f82" /><Relationship Type="http://schemas.openxmlformats.org/officeDocument/2006/relationships/worksheet" Target="/xl/worksheets/sheet5.xml" Id="Rb023c79d362449de" /></Relationships>
</file>

<file path=xl/tables/table1.xml><?xml version="1.0" encoding="utf-8"?>
<x:table xmlns:x="http://schemas.openxmlformats.org/spreadsheetml/2006/main" id="1" name="UbicacionesTable" displayName="UbicacionesTable" ref="A1:L73" headerRowCount="1" totalsRowCount="0" totalsRowShown="0">
  <x:tableColumns count="12">
    <x:tableColumn id="1" name="CC"/>
    <x:tableColumn id="2" name="Nombre Tienda"/>
    <x:tableColumn id="3" name="DM"/>
    <x:tableColumn id="4" name="Fecha Apertura"/>
    <x:tableColumn id="5" name="Municipio"/>
    <x:tableColumn id="6" name="Cobertura"/>
    <x:tableColumn id="7" name="Formato"/>
    <x:tableColumn id="8" name="Formato Comercial"/>
    <x:tableColumn id="9" name="Tier"/>
    <x:tableColumn id="10" name="Latitud"/>
    <x:tableColumn id="11" name="Longitud"/>
    <x:tableColumn id="12" name="Activ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IndicadoresTable" displayName="IndicadoresTable" ref="A1:T73" headerRowCount="1" totalsRowCount="0" totalsRowShown="0">
  <x:tableColumns count="20">
    <x:tableColumn id="1" name="CC"/>
    <x:tableColumn id="2" name="Corte YTD"/>
    <x:tableColumn id="3" name="Rolling"/>
    <x:tableColumn id="4" name="TPLH"/>
    <x:tableColumn id="5" name="IPLH"/>
    <x:tableColumn id="6" name="Labor"/>
    <x:tableColumn id="7" name="Dif Labor"/>
    <x:tableColumn id="8" name="Ventas MXN"/>
    <x:tableColumn id="9" name="Dif Ppto"/>
    <x:tableColumn id="10" name="OMT"/>
    <x:tableColumn id="11" name="NPS"/>
    <x:tableColumn id="12" name="Conexión"/>
    <x:tableColumn id="13" name="Bebida"/>
    <x:tableColumn id="14" name="CTC"/>
    <x:tableColumn id="15" name="Costo"/>
    <x:tableColumn id="16" name="Dif Costo"/>
    <x:tableColumn id="17" name="EBITDA"/>
    <x:tableColumn id="18" name="Dif EBITDA"/>
    <x:tableColumn id="19" name="DT Time"/>
    <x:tableColumn id="20" name="Tiempo DT AA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f5d52fc49d240d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bd964b662db484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20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0" customHeight="1">
      <x:c r="A1" s="3" t="str">
        <x:v>CENTRO NORTE · CMS EXCEL</x:v>
      </x:c>
      <x:c r="B1" s="3"/>
      <x:c r="C1" s="3"/>
      <x:c r="D1" s="3"/>
      <x:c r="E1" s="3"/>
      <x:c r="F1" s="3"/>
      <x:c r="G1" s="3"/>
      <x:c r="H1" s="3"/>
    </x:row>
    <x:row r="2" ht="30" customHeight="1">
      <x:c r="A2" s="3"/>
      <x:c r="B2" s="3"/>
      <x:c r="C2" s="3"/>
      <x:c r="D2" s="3"/>
      <x:c r="E2" s="3"/>
      <x:c r="F2" s="3"/>
      <x:c r="G2" s="3"/>
      <x:c r="H2" s="3"/>
    </x:row>
    <x:row r="4">
      <x:c r="A4" s="4" t="str">
        <x:v>Flujo de actualización</x:v>
      </x:c>
      <x:c r="B4" s="4"/>
      <x:c r="C4" s="4"/>
      <x:c r="D4" s="4"/>
      <x:c r="E4" s="4"/>
      <x:c r="F4" s="4"/>
      <x:c r="G4" s="4"/>
      <x:c r="H4" s="4"/>
    </x:row>
    <x:row r="6">
      <x:c r="A6" s="7" t="str">
        <x:v>1</x:v>
      </x:c>
      <x:c r="B6" s="8" t="str">
        <x:v>Edita</x:v>
      </x:c>
      <x:c r="C6" s="8" t="str">
        <x:v>Ubicaciones</x:v>
      </x:c>
      <x:c r="D6" t="str">
        <x:v>Datos estables, coordenadas y formato</x:v>
      </x:c>
      <x:c r="E6"/>
      <x:c r="F6"/>
      <x:c r="G6"/>
      <x:c r="H6"/>
    </x:row>
    <x:row r="7">
      <x:c r="A7" s="7" t="str">
        <x:v>2</x:v>
      </x:c>
      <x:c r="B7" s="8" t="str">
        <x:v>Actualiza</x:v>
      </x:c>
      <x:c r="C7" s="8" t="str">
        <x:v>Indicadores</x:v>
      </x:c>
      <x:c r="D7" t="str">
        <x:v>Métricas del corte; conserva el CC</x:v>
      </x:c>
      <x:c r="E7"/>
      <x:c r="F7"/>
      <x:c r="G7"/>
      <x:c r="H7"/>
    </x:row>
    <x:row r="8">
      <x:c r="A8" s="7" t="str">
        <x:v>3</x:v>
      </x:c>
      <x:c r="B8" s="8" t="str">
        <x:v>Revisa</x:v>
      </x:c>
      <x:c r="C8" s="8" t="str">
        <x:v>Validacion</x:v>
      </x:c>
      <x:c r="D8" t="str">
        <x:v>Confirma que todos los controles indiquen OK</x:v>
      </x:c>
      <x:c r="E8"/>
      <x:c r="F8"/>
      <x:c r="G8"/>
      <x:c r="H8"/>
    </x:row>
    <x:row r="9">
      <x:c r="A9" s="7" t="str">
        <x:v>4</x:v>
      </x:c>
      <x:c r="B9" s="8" t="str">
        <x:v>Carga</x:v>
      </x:c>
      <x:c r="C9" s="8" t="str">
        <x:v>Administrar</x:v>
      </x:c>
      <x:c r="D9" t="str">
        <x:v>Sube este .xlsx; Python valida, respalda y actualiza JSON</x:v>
      </x:c>
      <x:c r="E9"/>
      <x:c r="F9"/>
      <x:c r="G9"/>
      <x:c r="H9"/>
    </x:row>
    <x:row r="11">
      <x:c r="A11" s="4" t="str">
        <x:v>Resumen conectado a las hojas editables</x:v>
      </x:c>
      <x:c r="B11" s="4"/>
      <x:c r="C11" s="4"/>
      <x:c r="D11" s="4"/>
      <x:c r="E11" s="4"/>
      <x:c r="F11" s="4"/>
      <x:c r="G11" s="4"/>
      <x:c r="H11" s="4"/>
    </x:row>
    <x:row r="13">
      <x:c r="A13" s="12" t="str">
        <x:v>Indicador</x:v>
      </x:c>
      <x:c r="B13" s="12" t="str">
        <x:v>Valor</x:v>
      </x:c>
    </x:row>
    <x:row r="14">
      <x:c r="A14" t="str">
        <x:v>Tiendas capturadas</x:v>
      </x:c>
      <x:c r="B14" s="14" t="n">
        <x:f>COUNTA('Ubicaciones'!$A$2:$A$501)</x:f>
        <x:v>72</x:v>
      </x:c>
    </x:row>
    <x:row r="15">
      <x:c r="A15" t="str">
        <x:v>Tiendas activas</x:v>
      </x:c>
      <x:c r="B15" s="14" t="n">
        <x:f>COUNTIF('Ubicaciones'!$L$2:$L$501,"Sí")</x:f>
        <x:v>72</x:v>
      </x:c>
    </x:row>
    <x:row r="16">
      <x:c r="A16" t="str">
        <x:v>Filas de indicadores</x:v>
      </x:c>
      <x:c r="B16" s="14" t="n">
        <x:f>COUNTA('Indicadores'!$A$2:$A$501)</x:f>
        <x:v>72</x:v>
      </x:c>
    </x:row>
    <x:row r="18">
      <x:c r="A18" s="34" t="str">
        <x:v>Regla clave: CC es el identificador único y debe existir una sola vez en Ubicaciones y una sola vez en Indicadores. No cambies los encabezados de las tablas.</x:v>
      </x:c>
      <x:c r="B18" s="35"/>
      <x:c r="C18" s="35"/>
      <x:c r="D18" s="35"/>
      <x:c r="E18" s="35"/>
      <x:c r="F18" s="35"/>
      <x:c r="G18" s="35"/>
      <x:c r="H18" s="36"/>
    </x:row>
    <x:row r="19">
      <x:c r="A19" s="37"/>
      <x:c r="B19" s="38"/>
      <x:c r="C19" s="38"/>
      <x:c r="D19" s="38"/>
      <x:c r="E19" s="38"/>
      <x:c r="F19" s="38"/>
      <x:c r="G19" s="38"/>
      <x:c r="H19" s="39"/>
    </x:row>
    <x:row r="20">
      <x:c r="A20" s="40"/>
      <x:c r="B20" s="41"/>
      <x:c r="C20" s="41"/>
      <x:c r="D20" s="41"/>
      <x:c r="E20" s="41"/>
      <x:c r="F20" s="41"/>
      <x:c r="G20" s="41"/>
      <x:c r="H20" s="42"/>
    </x:row>
  </x:sheetData>
  <x:mergeCells>
    <x:mergeCell ref="A1:H2"/>
    <x:mergeCell ref="A4:H4"/>
    <x:mergeCell ref="A11:H11"/>
    <x:mergeCell ref="A18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22" hidden="0" customWidth="1"/>
    <x:col min="4" max="4" width="15" hidden="0" customWidth="1"/>
    <x:col min="5" max="5" width="25" hidden="0" customWidth="1"/>
    <x:col min="6" max="6" width="20" hidden="0" customWidth="1"/>
    <x:col min="7" max="7" width="16" hidden="0" customWidth="1"/>
    <x:col min="8" max="8" width="23" hidden="0" customWidth="1"/>
    <x:col min="9" max="9" width="10" hidden="0" customWidth="1"/>
    <x:col min="10" max="10" width="14" hidden="0" customWidth="1"/>
    <x:col min="11" max="11" width="14" hidden="0" customWidth="1"/>
    <x:col min="12" max="12" width="10" hidden="0" customWidth="1"/>
  </x:cols>
  <x:sheetData>
    <x:row r="1" ht="34" customHeight="1">
      <x:c r="A1" s="61" t="str">
        <x:v>CC</x:v>
      </x:c>
      <x:c r="B1" s="62" t="str">
        <x:v>Nombre Tienda</x:v>
      </x:c>
      <x:c r="C1" s="62" t="str">
        <x:v>DM</x:v>
      </x:c>
      <x:c r="D1" s="62" t="str">
        <x:v>Fecha Apertura</x:v>
      </x:c>
      <x:c r="E1" s="62" t="str">
        <x:v>Municipio</x:v>
      </x:c>
      <x:c r="F1" s="62" t="str">
        <x:v>Cobertura</x:v>
      </x:c>
      <x:c r="G1" s="62" t="str">
        <x:v>Formato</x:v>
      </x:c>
      <x:c r="H1" s="62" t="str">
        <x:v>Formato Comercial</x:v>
      </x:c>
      <x:c r="I1" s="62" t="str">
        <x:v>Tier</x:v>
      </x:c>
      <x:c r="J1" s="62" t="str">
        <x:v>Latitud</x:v>
      </x:c>
      <x:c r="K1" s="62" t="str">
        <x:v>Longitud</x:v>
      </x:c>
      <x:c r="L1" s="63" t="str">
        <x:v>Activa</x:v>
      </x:c>
    </x:row>
    <x:row r="2">
      <x:c r="A2" s="71" t="str">
        <x:v>38401</x:v>
      </x:c>
      <x:c r="B2" s="72" t="str">
        <x:v>Coacalco</x:v>
      </x:c>
      <x:c r="C2" s="72" t="str">
        <x:v>Enrique César</x:v>
      </x:c>
      <x:c r="D2" s="73" t="n">
        <x:v>40528.75</x:v>
      </x:c>
      <x:c r="E2" s="72" t="str">
        <x:v>Coacalco De Berriozábal</x:v>
      </x:c>
      <x:c r="F2" s="72" t="str">
        <x:v>Estado De México</x:v>
      </x:c>
      <x:c r="G2" s="72" t="str">
        <x:v>Cafe</x:v>
      </x:c>
      <x:c r="H2" s="72" t="str">
        <x:v>Hypermarket</x:v>
      </x:c>
      <x:c r="I2" s="72" t="str">
        <x:v>C2</x:v>
      </x:c>
      <x:c r="J2" s="74" t="n">
        <x:v>19.62872675</x:v>
      </x:c>
      <x:c r="K2" s="74" t="n">
        <x:v>-99.12410376</x:v>
      </x:c>
      <x:c r="L2" s="75" t="str">
        <x:v>Sí</x:v>
      </x:c>
    </x:row>
    <x:row r="3">
      <x:c r="A3" s="71" t="str">
        <x:v>38604</x:v>
      </x:c>
      <x:c r="B3" s="72" t="str">
        <x:v>Cosmopol</x:v>
      </x:c>
      <x:c r="C3" s="72" t="str">
        <x:v>Enrique César</x:v>
      </x:c>
      <x:c r="D3" s="73" t="n">
        <x:v>42257.708333333336</x:v>
      </x:c>
      <x:c r="E3" s="72" t="str">
        <x:v>Coacalco De Berriozábal</x:v>
      </x:c>
      <x:c r="F3" s="72" t="str">
        <x:v>Estado De México</x:v>
      </x:c>
      <x:c r="G3" s="72" t="str">
        <x:v>Kiosko</x:v>
      </x:c>
      <x:c r="H3" s="72" t="str">
        <x:v>Mall</x:v>
      </x:c>
      <x:c r="I3" s="72" t="str">
        <x:v>C1</x:v>
      </x:c>
      <x:c r="J3" s="74" t="n">
        <x:v>19.63205575</x:v>
      </x:c>
      <x:c r="K3" s="74" t="n">
        <x:v>-99.1257806</x:v>
      </x:c>
      <x:c r="L3" s="75" t="str">
        <x:v>Sí</x:v>
      </x:c>
    </x:row>
    <x:row r="4">
      <x:c r="A4" s="71" t="str">
        <x:v>43193</x:v>
      </x:c>
      <x:c r="B4" s="72" t="str">
        <x:v>Cosmopol N1</x:v>
      </x:c>
      <x:c r="C4" s="72" t="str">
        <x:v>Enrique César</x:v>
      </x:c>
      <x:c r="D4" s="73" t="n">
        <x:v>46007.75</x:v>
      </x:c>
      <x:c r="E4" s="72" t="str">
        <x:v>Coacalco De Berriozábal</x:v>
      </x:c>
      <x:c r="F4" s="72" t="str">
        <x:v>Estado De México</x:v>
      </x:c>
      <x:c r="G4" s="72" t="str">
        <x:v>Kiosko</x:v>
      </x:c>
      <x:c r="H4" s="72" t="str">
        <x:v>Mall</x:v>
      </x:c>
      <x:c r="I4" s="72" t="str">
        <x:v>C1</x:v>
      </x:c>
      <x:c r="J4" s="74" t="n">
        <x:v>19.63207203</x:v>
      </x:c>
      <x:c r="K4" s="74" t="n">
        <x:v>-99.12441873</x:v>
      </x:c>
      <x:c r="L4" s="75" t="str">
        <x:v>Sí</x:v>
      </x:c>
    </x:row>
    <x:row r="5">
      <x:c r="A5" s="71" t="str">
        <x:v>38333</x:v>
      </x:c>
      <x:c r="B5" s="72" t="str">
        <x:v>Izcalli Mega</x:v>
      </x:c>
      <x:c r="C5" s="72" t="str">
        <x:v>Enrique César</x:v>
      </x:c>
      <x:c r="D5" s="73" t="n">
        <x:v>39688.708333333336</x:v>
      </x:c>
      <x:c r="E5" s="72" t="str">
        <x:v>Cuatitlan Izcalli</x:v>
      </x:c>
      <x:c r="F5" s="72" t="str">
        <x:v>Estado De México</x:v>
      </x:c>
      <x:c r="G5" s="72" t="str">
        <x:v>Cafe</x:v>
      </x:c>
      <x:c r="H5" s="72" t="str">
        <x:v>Hypermarket</x:v>
      </x:c>
      <x:c r="I5" s="72" t="str">
        <x:v>C2</x:v>
      </x:c>
      <x:c r="J5" s="74" t="n">
        <x:v>19.64697761</x:v>
      </x:c>
      <x:c r="K5" s="74" t="n">
        <x:v>-99.2071519</x:v>
      </x:c>
      <x:c r="L5" s="75" t="str">
        <x:v>Sí</x:v>
      </x:c>
    </x:row>
    <x:row r="6">
      <x:c r="A6" s="71" t="str">
        <x:v>38368</x:v>
      </x:c>
      <x:c r="B6" s="72" t="str">
        <x:v>Luna Park</x:v>
      </x:c>
      <x:c r="C6" s="72" t="str">
        <x:v>Enrique César</x:v>
      </x:c>
      <x:c r="D6" s="73" t="n">
        <x:v>40145.75</x:v>
      </x:c>
      <x:c r="E6" s="72" t="str">
        <x:v>Cuatitlan Izcalli</x:v>
      </x:c>
      <x:c r="F6" s="72" t="str">
        <x:v>Estado De México</x:v>
      </x:c>
      <x:c r="G6" s="72" t="str">
        <x:v>Kiosko</x:v>
      </x:c>
      <x:c r="H6" s="72" t="str">
        <x:v>Mall</x:v>
      </x:c>
      <x:c r="I6" s="72" t="str">
        <x:v>C2</x:v>
      </x:c>
      <x:c r="J6" s="74" t="n">
        <x:v>19.65740984</x:v>
      </x:c>
      <x:c r="K6" s="74" t="n">
        <x:v>-99.21026354</x:v>
      </x:c>
      <x:c r="L6" s="75" t="str">
        <x:v>Sí</x:v>
      </x:c>
    </x:row>
    <x:row r="7">
      <x:c r="A7" s="71" t="str">
        <x:v>38515</x:v>
      </x:c>
      <x:c r="B7" s="72" t="str">
        <x:v>Patio Ecatepec</x:v>
      </x:c>
      <x:c r="C7" s="72" t="str">
        <x:v>Enrique César</x:v>
      </x:c>
      <x:c r="D7" s="73" t="n">
        <x:v>41544.708333333336</x:v>
      </x:c>
      <x:c r="E7" s="72" t="str">
        <x:v>Ecatepec De Morelos</x:v>
      </x:c>
      <x:c r="F7" s="72" t="str">
        <x:v>Estado De México</x:v>
      </x:c>
      <x:c r="G7" s="72" t="str">
        <x:v>Cafe</x:v>
      </x:c>
      <x:c r="H7" s="72" t="str">
        <x:v>Hypermarket</x:v>
      </x:c>
      <x:c r="I7" s="72" t="str">
        <x:v>C2</x:v>
      </x:c>
      <x:c r="J7" s="74" t="n">
        <x:v>19.60630467</x:v>
      </x:c>
      <x:c r="K7" s="74" t="n">
        <x:v>-99.04596739</x:v>
      </x:c>
      <x:c r="L7" s="75" t="str">
        <x:v>Sí</x:v>
      </x:c>
    </x:row>
    <x:row r="8">
      <x:c r="A8" s="71" t="str">
        <x:v>38456</x:v>
      </x:c>
      <x:c r="B8" s="72" t="str">
        <x:v>Plaza las Flores</x:v>
      </x:c>
      <x:c r="C8" s="72" t="str">
        <x:v>Enrique César</x:v>
      </x:c>
      <x:c r="D8" s="73" t="n">
        <x:v>41081.708333333336</x:v>
      </x:c>
      <x:c r="E8" s="72" t="str">
        <x:v>Coacalco De Berriozábal</x:v>
      </x:c>
      <x:c r="F8" s="72" t="str">
        <x:v>Estado De México</x:v>
      </x:c>
      <x:c r="G8" s="72" t="str">
        <x:v>Kiosko</x:v>
      </x:c>
      <x:c r="H8" s="72" t="str">
        <x:v>Hypermarket</x:v>
      </x:c>
      <x:c r="I8" s="72" t="str">
        <x:v>C2</x:v>
      </x:c>
      <x:c r="J8" s="74" t="n">
        <x:v>19.63640228</x:v>
      </x:c>
      <x:c r="K8" s="74" t="n">
        <x:v>-99.09608839</x:v>
      </x:c>
      <x:c r="L8" s="75" t="str">
        <x:v>Sí</x:v>
      </x:c>
    </x:row>
    <x:row r="9">
      <x:c r="A9" s="71" t="str">
        <x:v>38339</x:v>
      </x:c>
      <x:c r="B9" s="72" t="str">
        <x:v>San Marcos</x:v>
      </x:c>
      <x:c r="C9" s="72" t="str">
        <x:v>Enrique César</x:v>
      </x:c>
      <x:c r="D9" s="73" t="n">
        <x:v>39718.708333333336</x:v>
      </x:c>
      <x:c r="E9" s="72" t="str">
        <x:v>Cuatitlan Izcalli</x:v>
      </x:c>
      <x:c r="F9" s="72" t="str">
        <x:v>Estado De México</x:v>
      </x:c>
      <x:c r="G9" s="72" t="str">
        <x:v>Cafe</x:v>
      </x:c>
      <x:c r="H9" s="72" t="str">
        <x:v>Hypermarket</x:v>
      </x:c>
      <x:c r="I9" s="72" t="str">
        <x:v>C2</x:v>
      </x:c>
      <x:c r="J9" s="74" t="n">
        <x:v>19.67090726</x:v>
      </x:c>
      <x:c r="K9" s="74" t="n">
        <x:v>-99.20315596</x:v>
      </x:c>
      <x:c r="L9" s="75" t="str">
        <x:v>Sí</x:v>
      </x:c>
    </x:row>
    <x:row r="10">
      <x:c r="A10" s="71" t="str">
        <x:v>38862</x:v>
      </x:c>
      <x:c r="B10" s="72" t="str">
        <x:v>San Miguel Izcalli</x:v>
      </x:c>
      <x:c r="C10" s="72" t="str">
        <x:v>Enrique César</x:v>
      </x:c>
      <x:c r="D10" s="73" t="n">
        <x:v>43530.75</x:v>
      </x:c>
      <x:c r="E10" s="72" t="str">
        <x:v>Cuatitlan Izcalli</x:v>
      </x:c>
      <x:c r="F10" s="72" t="str">
        <x:v>Estado De México</x:v>
      </x:c>
      <x:c r="G10" s="72" t="str">
        <x:v>Cafe</x:v>
      </x:c>
      <x:c r="H10" s="72" t="str">
        <x:v>Hypermarket</x:v>
      </x:c>
      <x:c r="I10" s="72" t="str">
        <x:v>C2</x:v>
      </x:c>
      <x:c r="J10" s="74" t="n">
        <x:v>19.68836685</x:v>
      </x:c>
      <x:c r="K10" s="74" t="n">
        <x:v>-99.21400636</x:v>
      </x:c>
      <x:c r="L10" s="75" t="str">
        <x:v>Sí</x:v>
      </x:c>
    </x:row>
    <x:row r="11">
      <x:c r="A11" s="71" t="str">
        <x:v>38186</x:v>
      </x:c>
      <x:c r="B11" s="72" t="str">
        <x:v>Arboledas</x:v>
      </x:c>
      <x:c r="C11" s="72" t="str">
        <x:v>Nancy Rodríguez</x:v>
      </x:c>
      <x:c r="D11" s="73" t="n">
        <x:v>38854.708333333336</x:v>
      </x:c>
      <x:c r="E11" s="72" t="str">
        <x:v>Atizapan De Zaragoza</x:v>
      </x:c>
      <x:c r="F11" s="72" t="str">
        <x:v>Estado De México</x:v>
      </x:c>
      <x:c r="G11" s="72" t="str">
        <x:v>Cafe</x:v>
      </x:c>
      <x:c r="H11" s="72" t="str">
        <x:v>Neighborhood</x:v>
      </x:c>
      <x:c r="I11" s="72" t="str">
        <x:v>C1</x:v>
      </x:c>
      <x:c r="J11" s="74" t="n">
        <x:v>19.55995694</x:v>
      </x:c>
      <x:c r="K11" s="74" t="n">
        <x:v>-99.22014176</x:v>
      </x:c>
      <x:c r="L11" s="75" t="str">
        <x:v>Sí</x:v>
      </x:c>
    </x:row>
    <x:row r="12">
      <x:c r="A12" s="71" t="str">
        <x:v>38894</x:v>
      </x:c>
      <x:c r="B12" s="72" t="str">
        <x:v>Galerias Perinorte</x:v>
      </x:c>
      <x:c r="C12" s="72" t="str">
        <x:v>Nancy Rodríguez</x:v>
      </x:c>
      <x:c r="D12" s="73" t="n">
        <x:v>44182.75</x:v>
      </x:c>
      <x:c r="E12" s="72" t="str">
        <x:v>Cuatitlan Izcalli</x:v>
      </x:c>
      <x:c r="F12" s="72" t="str">
        <x:v>Estado De México</x:v>
      </x:c>
      <x:c r="G12" s="72" t="str">
        <x:v>Cafe</x:v>
      </x:c>
      <x:c r="H12" s="72" t="str">
        <x:v>Mall</x:v>
      </x:c>
      <x:c r="I12" s="72" t="str">
        <x:v>C1</x:v>
      </x:c>
      <x:c r="J12" s="74" t="n">
        <x:v>19.60223727</x:v>
      </x:c>
      <x:c r="K12" s="74" t="n">
        <x:v>-99.1909696</x:v>
      </x:c>
      <x:c r="L12" s="75" t="str">
        <x:v>Sí</x:v>
      </x:c>
    </x:row>
    <x:row r="13">
      <x:c r="A13" s="71" t="str">
        <x:v>38230</x:v>
      </x:c>
      <x:c r="B13" s="72" t="str">
        <x:v>ITEMS Edo de Mexico</x:v>
      </x:c>
      <x:c r="C13" s="72" t="str">
        <x:v>Nancy Rodríguez</x:v>
      </x:c>
      <x:c r="D13" s="73" t="n">
        <x:v>39209.708333333336</x:v>
      </x:c>
      <x:c r="E13" s="72" t="str">
        <x:v>Atizapan De Zaragoza</x:v>
      </x:c>
      <x:c r="F13" s="72" t="str">
        <x:v>Estado De México</x:v>
      </x:c>
      <x:c r="G13" s="72" t="str">
        <x:v>Cafe</x:v>
      </x:c>
      <x:c r="H13" s="72" t="str">
        <x:v>Education</x:v>
      </x:c>
      <x:c r="I13" s="72" t="str">
        <x:v>C1</x:v>
      </x:c>
      <x:c r="J13" s="74" t="n">
        <x:v>19.59795983</x:v>
      </x:c>
      <x:c r="K13" s="74" t="n">
        <x:v>-99.22645569</x:v>
      </x:c>
      <x:c r="L13" s="75" t="str">
        <x:v>Sí</x:v>
      </x:c>
    </x:row>
    <x:row r="14">
      <x:c r="A14" s="71" t="str">
        <x:v>38661</x:v>
      </x:c>
      <x:c r="B14" s="72" t="str">
        <x:v>Jinetes</x:v>
      </x:c>
      <x:c r="C14" s="72" t="str">
        <x:v>Nancy Rodríguez</x:v>
      </x:c>
      <x:c r="D14" s="73" t="n">
        <x:v>42594.708333333336</x:v>
      </x:c>
      <x:c r="E14" s="72" t="str">
        <x:v>Atizapan De Zaragoza</x:v>
      </x:c>
      <x:c r="F14" s="72" t="str">
        <x:v>Estado De México</x:v>
      </x:c>
      <x:c r="G14" s="72" t="str">
        <x:v>Cafe</x:v>
      </x:c>
      <x:c r="H14" s="72" t="str">
        <x:v>Neighborhood</x:v>
      </x:c>
      <x:c r="I14" s="72" t="str">
        <x:v>C1</x:v>
      </x:c>
      <x:c r="J14" s="74" t="n">
        <x:v>19.55998726</x:v>
      </x:c>
      <x:c r="K14" s="74" t="n">
        <x:v>-99.22017395</x:v>
      </x:c>
      <x:c r="L14" s="75" t="str">
        <x:v>Sí</x:v>
      </x:c>
    </x:row>
    <x:row r="15">
      <x:c r="A15" s="71" t="str">
        <x:v>38674</x:v>
      </x:c>
      <x:c r="B15" s="72" t="str">
        <x:v>Mundo E</x:v>
      </x:c>
      <x:c r="C15" s="72" t="str">
        <x:v>Nancy Rodríguez</x:v>
      </x:c>
      <x:c r="D15" s="73" t="n">
        <x:v>42632.708333333336</x:v>
      </x:c>
      <x:c r="E15" s="72" t="str">
        <x:v>Tlalnepantla</x:v>
      </x:c>
      <x:c r="F15" s="72" t="str">
        <x:v>Estado De México</x:v>
      </x:c>
      <x:c r="G15" s="72" t="str">
        <x:v>Cafe</x:v>
      </x:c>
      <x:c r="H15" s="72" t="str">
        <x:v>Mall</x:v>
      </x:c>
      <x:c r="I15" s="72" t="str">
        <x:v>C1</x:v>
      </x:c>
      <x:c r="J15" s="74" t="n">
        <x:v>19.52606457</x:v>
      </x:c>
      <x:c r="K15" s="74" t="n">
        <x:v>-99.22811955</x:v>
      </x:c>
      <x:c r="L15" s="75" t="str">
        <x:v>Sí</x:v>
      </x:c>
    </x:row>
    <x:row r="16">
      <x:c r="A16" s="71" t="str">
        <x:v>38845</x:v>
      </x:c>
      <x:c r="B16" s="72" t="str">
        <x:v>Mundo E II</x:v>
      </x:c>
      <x:c r="C16" s="72" t="str">
        <x:v>Nancy Rodríguez</x:v>
      </x:c>
      <x:c r="D16" s="73" t="n">
        <x:v>43442.75</x:v>
      </x:c>
      <x:c r="E16" s="72" t="str">
        <x:v>Tlalnepantla</x:v>
      </x:c>
      <x:c r="F16" s="72" t="str">
        <x:v>Estado De México</x:v>
      </x:c>
      <x:c r="G16" s="72" t="str">
        <x:v>Kiosko</x:v>
      </x:c>
      <x:c r="H16" s="72" t="str">
        <x:v>Mall</x:v>
      </x:c>
      <x:c r="I16" s="72" t="str">
        <x:v>C1</x:v>
      </x:c>
      <x:c r="J16" s="74" t="n">
        <x:v>19.52497104</x:v>
      </x:c>
      <x:c r="K16" s="74" t="n">
        <x:v>-99.22911025</x:v>
      </x:c>
      <x:c r="L16" s="75" t="str">
        <x:v>Sí</x:v>
      </x:c>
    </x:row>
    <x:row r="17">
      <x:c r="A17" s="71" t="str">
        <x:v>38792</x:v>
      </x:c>
      <x:c r="B17" s="72" t="str">
        <x:v>Pasaje Tlanepantla</x:v>
      </x:c>
      <x:c r="C17" s="72" t="str">
        <x:v>Nancy Rodríguez</x:v>
      </x:c>
      <x:c r="D17" s="73" t="n">
        <x:v>43235.708333333336</x:v>
      </x:c>
      <x:c r="E17" s="72" t="str">
        <x:v>Tlalnepantla</x:v>
      </x:c>
      <x:c r="F17" s="72" t="str">
        <x:v>Estado De México</x:v>
      </x:c>
      <x:c r="G17" s="72" t="str">
        <x:v>Cafe</x:v>
      </x:c>
      <x:c r="H17" s="72" t="str">
        <x:v>Mall</x:v>
      </x:c>
      <x:c r="I17" s="72" t="str">
        <x:v>C1</x:v>
      </x:c>
      <x:c r="J17" s="74" t="n">
        <x:v>19.54010506</x:v>
      </x:c>
      <x:c r="K17" s="74" t="n">
        <x:v>-99.21541073</x:v>
      </x:c>
      <x:c r="L17" s="75" t="str">
        <x:v>Sí</x:v>
      </x:c>
    </x:row>
    <x:row r="18">
      <x:c r="A18" s="71" t="str">
        <x:v>38136</x:v>
      </x:c>
      <x:c r="B18" s="72" t="str">
        <x:v>Punta Norte</x:v>
      </x:c>
      <x:c r="C18" s="72" t="str">
        <x:v>Nancy Rodríguez</x:v>
      </x:c>
      <x:c r="D18" s="73" t="n">
        <x:v>38330.75</x:v>
      </x:c>
      <x:c r="E18" s="72" t="str">
        <x:v>Cuatitlan Izcalli</x:v>
      </x:c>
      <x:c r="F18" s="72" t="str">
        <x:v>Estado De México</x:v>
      </x:c>
      <x:c r="G18" s="72" t="str">
        <x:v>Cafe</x:v>
      </x:c>
      <x:c r="H18" s="72" t="str">
        <x:v>Mall</x:v>
      </x:c>
      <x:c r="I18" s="72" t="str">
        <x:v>C2</x:v>
      </x:c>
      <x:c r="J18" s="74" t="n">
        <x:v>19.6023276</x:v>
      </x:c>
      <x:c r="K18" s="74" t="n">
        <x:v>-99.19151696</x:v>
      </x:c>
      <x:c r="L18" s="75" t="str">
        <x:v>Sí</x:v>
      </x:c>
    </x:row>
    <x:row r="19">
      <x:c r="A19" s="71" t="str">
        <x:v>38460</x:v>
      </x:c>
      <x:c r="B19" s="72" t="str">
        <x:v>Santa Monica</x:v>
      </x:c>
      <x:c r="C19" s="72" t="str">
        <x:v>Nancy Rodríguez</x:v>
      </x:c>
      <x:c r="D19" s="73" t="n">
        <x:v>41144.708333333336</x:v>
      </x:c>
      <x:c r="E19" s="72" t="str">
        <x:v>Tlalnepantla</x:v>
      </x:c>
      <x:c r="F19" s="72" t="str">
        <x:v>Estado De México</x:v>
      </x:c>
      <x:c r="G19" s="72" t="str">
        <x:v>Cafe</x:v>
      </x:c>
      <x:c r="H19" s="72" t="str">
        <x:v>Neighborhood</x:v>
      </x:c>
      <x:c r="I19" s="72" t="str">
        <x:v>C2</x:v>
      </x:c>
      <x:c r="J19" s="74" t="n">
        <x:v>19.52812104</x:v>
      </x:c>
      <x:c r="K19" s="74" t="n">
        <x:v>-99.22818709</x:v>
      </x:c>
      <x:c r="L19" s="75" t="str">
        <x:v>Sí</x:v>
      </x:c>
    </x:row>
    <x:row r="20">
      <x:c r="A20" s="71" t="str">
        <x:v>38442</x:v>
      </x:c>
      <x:c r="B20" s="72" t="str">
        <x:v>Sor Juana</x:v>
      </x:c>
      <x:c r="C20" s="72" t="str">
        <x:v>Nancy Rodríguez</x:v>
      </x:c>
      <x:c r="D20" s="73" t="n">
        <x:v>40896.75</x:v>
      </x:c>
      <x:c r="E20" s="72" t="str">
        <x:v>Tlalnepantla</x:v>
      </x:c>
      <x:c r="F20" s="72" t="str">
        <x:v>Estado De México</x:v>
      </x:c>
      <x:c r="G20" s="72" t="str">
        <x:v>Cafe</x:v>
      </x:c>
      <x:c r="H20" s="72" t="str">
        <x:v>Street</x:v>
      </x:c>
      <x:c r="I20" s="72" t="str">
        <x:v>C2</x:v>
      </x:c>
      <x:c r="J20" s="74" t="n">
        <x:v>19.53858646</x:v>
      </x:c>
      <x:c r="K20" s="74" t="n">
        <x:v>-99.19931536</x:v>
      </x:c>
      <x:c r="L20" s="75" t="str">
        <x:v>Sí</x:v>
      </x:c>
    </x:row>
    <x:row r="21">
      <x:c r="A21" s="71" t="str">
        <x:v>38606</x:v>
      </x:c>
      <x:c r="B21" s="72" t="str">
        <x:v>TlalnepantlaCarso</x:v>
      </x:c>
      <x:c r="C21" s="72" t="str">
        <x:v>Nancy Rodríguez</x:v>
      </x:c>
      <x:c r="D21" s="73" t="n">
        <x:v>42255.708333333336</x:v>
      </x:c>
      <x:c r="E21" s="72" t="str">
        <x:v>Tlalnepantla</x:v>
      </x:c>
      <x:c r="F21" s="72" t="str">
        <x:v>Estado De México</x:v>
      </x:c>
      <x:c r="G21" s="72" t="str">
        <x:v>Cafe</x:v>
      </x:c>
      <x:c r="H21" s="72" t="str">
        <x:v>Mall</x:v>
      </x:c>
      <x:c r="I21" s="72" t="str">
        <x:v>C1</x:v>
      </x:c>
      <x:c r="J21" s="74" t="n">
        <x:v>19.53820969</x:v>
      </x:c>
      <x:c r="K21" s="74" t="n">
        <x:v>-99.20631362</x:v>
      </x:c>
      <x:c r="L21" s="75" t="str">
        <x:v>Sí</x:v>
      </x:c>
    </x:row>
    <x:row r="22">
      <x:c r="A22" s="71" t="str">
        <x:v>38374</x:v>
      </x:c>
      <x:c r="B22" s="72" t="str">
        <x:v>Valle Dorado</x:v>
      </x:c>
      <x:c r="C22" s="72" t="str">
        <x:v>Nancy Rodríguez</x:v>
      </x:c>
      <x:c r="D22" s="73" t="n">
        <x:v>40265.75</x:v>
      </x:c>
      <x:c r="E22" s="72" t="str">
        <x:v>Tlalnepantla</x:v>
      </x:c>
      <x:c r="F22" s="72" t="str">
        <x:v>Estado De México</x:v>
      </x:c>
      <x:c r="G22" s="72" t="str">
        <x:v>Cafe</x:v>
      </x:c>
      <x:c r="H22" s="72" t="str">
        <x:v>Shopping Center</x:v>
      </x:c>
      <x:c r="I22" s="72" t="str">
        <x:v>C2</x:v>
      </x:c>
      <x:c r="J22" s="74" t="n">
        <x:v>19.54745096</x:v>
      </x:c>
      <x:c r="K22" s="74" t="n">
        <x:v>-99.21034463</x:v>
      </x:c>
      <x:c r="L22" s="75" t="str">
        <x:v>Sí</x:v>
      </x:c>
    </x:row>
    <x:row r="23">
      <x:c r="A23" s="71" t="str">
        <x:v>38694</x:v>
      </x:c>
      <x:c r="B23" s="72" t="str">
        <x:v>Villas de la Hacienda</x:v>
      </x:c>
      <x:c r="C23" s="72" t="str">
        <x:v>Nancy Rodríguez</x:v>
      </x:c>
      <x:c r="D23" s="73" t="n">
        <x:v>42721.75</x:v>
      </x:c>
      <x:c r="E23" s="72" t="str">
        <x:v>Atizapan De Zaragoza</x:v>
      </x:c>
      <x:c r="F23" s="72" t="str">
        <x:v>Estado De México</x:v>
      </x:c>
      <x:c r="G23" s="72" t="str">
        <x:v>Cafe</x:v>
      </x:c>
      <x:c r="H23" s="72" t="str">
        <x:v>Hypermarket</x:v>
      </x:c>
      <x:c r="I23" s="72" t="str">
        <x:v>C2</x:v>
      </x:c>
      <x:c r="J23" s="74" t="n">
        <x:v>19.60704127</x:v>
      </x:c>
      <x:c r="K23" s="74" t="n">
        <x:v>-99.22930698</x:v>
      </x:c>
      <x:c r="L23" s="75" t="str">
        <x:v>Sí</x:v>
      </x:c>
    </x:row>
    <x:row r="24">
      <x:c r="A24" s="71" t="str">
        <x:v>43194</x:v>
      </x:c>
      <x:c r="B24" s="72" t="str">
        <x:v>Atana Lindavista</x:v>
      </x:c>
      <x:c r="C24" s="72" t="str">
        <x:v>Vanessa Carreño</x:v>
      </x:c>
      <x:c r="D24" s="73" t="n">
        <x:v>46047.75</x:v>
      </x:c>
      <x:c r="E24" s="72" t="str">
        <x:v>Gustavo A. Madero</x:v>
      </x:c>
      <x:c r="F24" s="72" t="str">
        <x:v>Ciudad De México</x:v>
      </x:c>
      <x:c r="G24" s="72" t="str">
        <x:v>Kiosko</x:v>
      </x:c>
      <x:c r="H24" s="72" t="str">
        <x:v>Hypermarket</x:v>
      </x:c>
      <x:c r="I24" s="72" t="str">
        <x:v>C2</x:v>
      </x:c>
      <x:c r="J24" s="74" t="n">
        <x:v>19.51739925</x:v>
      </x:c>
      <x:c r="K24" s="74" t="n">
        <x:v>-99.14272428</x:v>
      </x:c>
      <x:c r="L24" s="75" t="str">
        <x:v>Sí</x:v>
      </x:c>
    </x:row>
    <x:row r="25">
      <x:c r="A25" s="71" t="str">
        <x:v>38527</x:v>
      </x:c>
      <x:c r="B25" s="72" t="str">
        <x:v>Camarones</x:v>
      </x:c>
      <x:c r="C25" s="72" t="str">
        <x:v>Vanessa Carreño</x:v>
      </x:c>
      <x:c r="D25" s="73" t="n">
        <x:v>41649.75</x:v>
      </x:c>
      <x:c r="E25" s="72" t="str">
        <x:v>Azcapotzalco</x:v>
      </x:c>
      <x:c r="F25" s="72" t="str">
        <x:v>Ciudad De México</x:v>
      </x:c>
      <x:c r="G25" s="72" t="str">
        <x:v>Drive_Thru</x:v>
      </x:c>
      <x:c r="H25" s="72" t="str">
        <x:v>Neighborhood</x:v>
      </x:c>
      <x:c r="I25" s="72" t="str">
        <x:v>C2</x:v>
      </x:c>
      <x:c r="J25" s="74" t="n">
        <x:v>19.47180993</x:v>
      </x:c>
      <x:c r="K25" s="74" t="n">
        <x:v>-99.1800422</x:v>
      </x:c>
      <x:c r="L25" s="75" t="str">
        <x:v>Sí</x:v>
      </x:c>
    </x:row>
    <x:row r="26">
      <x:c r="A26" s="71" t="str">
        <x:v>38837</x:v>
      </x:c>
      <x:c r="B26" s="72" t="str">
        <x:v>Centenario Azcapotzalco</x:v>
      </x:c>
      <x:c r="C26" s="72" t="str">
        <x:v>Vanessa Carreño</x:v>
      </x:c>
      <x:c r="D26" s="73" t="n">
        <x:v>43433.75</x:v>
      </x:c>
      <x:c r="E26" s="72" t="str">
        <x:v>Azcapotzalco</x:v>
      </x:c>
      <x:c r="F26" s="72" t="str">
        <x:v>Ciudad De México</x:v>
      </x:c>
      <x:c r="G26" s="72" t="str">
        <x:v>Cafe</x:v>
      </x:c>
      <x:c r="H26" s="72" t="str">
        <x:v>Shopping Center</x:v>
      </x:c>
      <x:c r="I26" s="72" t="str">
        <x:v>C2</x:v>
      </x:c>
      <x:c r="J26" s="74" t="n">
        <x:v>19.47849506</x:v>
      </x:c>
      <x:c r="K26" s="74" t="n">
        <x:v>-99.18850073</x:v>
      </x:c>
      <x:c r="L26" s="75" t="str">
        <x:v>Sí</x:v>
      </x:c>
    </x:row>
    <x:row r="27">
      <x:c r="A27" s="71" t="str">
        <x:v>38205</x:v>
      </x:c>
      <x:c r="B27" s="72" t="str">
        <x:v>Lindavista</x:v>
      </x:c>
      <x:c r="C27" s="72" t="str">
        <x:v>Vanessa Carreño</x:v>
      </x:c>
      <x:c r="D27" s="73" t="n">
        <x:v>39039.75</x:v>
      </x:c>
      <x:c r="E27" s="72" t="str">
        <x:v>Gustavo A. Madero</x:v>
      </x:c>
      <x:c r="F27" s="72" t="str">
        <x:v>Ciudad De México</x:v>
      </x:c>
      <x:c r="G27" s="72" t="str">
        <x:v>Cafe</x:v>
      </x:c>
      <x:c r="H27" s="72" t="str">
        <x:v>Mall</x:v>
      </x:c>
      <x:c r="I27" s="72" t="str">
        <x:v>C2</x:v>
      </x:c>
      <x:c r="J27" s="74" t="n">
        <x:v>19.4864747</x:v>
      </x:c>
      <x:c r="K27" s="74" t="n">
        <x:v>-99.1306705</x:v>
      </x:c>
      <x:c r="L27" s="75" t="str">
        <x:v>Sí</x:v>
      </x:c>
    </x:row>
    <x:row r="28">
      <x:c r="A28" s="71" t="str">
        <x:v>38207</x:v>
      </x:c>
      <x:c r="B28" s="72" t="str">
        <x:v>Lindavista II</x:v>
      </x:c>
      <x:c r="C28" s="72" t="str">
        <x:v>Vanessa Carreño</x:v>
      </x:c>
      <x:c r="D28" s="73" t="n">
        <x:v>39042.75</x:v>
      </x:c>
      <x:c r="E28" s="72" t="str">
        <x:v>Gustavo A. Madero</x:v>
      </x:c>
      <x:c r="F28" s="72" t="str">
        <x:v>Ciudad De México</x:v>
      </x:c>
      <x:c r="G28" s="72" t="str">
        <x:v>Kiosko</x:v>
      </x:c>
      <x:c r="H28" s="72" t="str">
        <x:v>Mall</x:v>
      </x:c>
      <x:c r="I28" s="72" t="str">
        <x:v>C2</x:v>
      </x:c>
      <x:c r="J28" s="74" t="n">
        <x:v>19.48641994</x:v>
      </x:c>
      <x:c r="K28" s="74" t="n">
        <x:v>-99.13145725</x:v>
      </x:c>
      <x:c r="L28" s="75" t="str">
        <x:v>Sí</x:v>
      </x:c>
    </x:row>
    <x:row r="29">
      <x:c r="A29" s="71" t="str">
        <x:v>38371</x:v>
      </x:c>
      <x:c r="B29" s="72" t="str">
        <x:v>Montevideo DT</x:v>
      </x:c>
      <x:c r="C29" s="72" t="str">
        <x:v>Vanessa Carreño</x:v>
      </x:c>
      <x:c r="D29" s="73" t="n">
        <x:v>40169.75</x:v>
      </x:c>
      <x:c r="E29" s="72" t="str">
        <x:v>Gustavo A. Madero</x:v>
      </x:c>
      <x:c r="F29" s="72" t="str">
        <x:v>Ciudad De México</x:v>
      </x:c>
      <x:c r="G29" s="72" t="str">
        <x:v>Drive_Thru</x:v>
      </x:c>
      <x:c r="H29" s="72" t="str">
        <x:v>Neighborhood</x:v>
      </x:c>
      <x:c r="I29" s="72" t="str">
        <x:v>C2</x:v>
      </x:c>
      <x:c r="J29" s="74" t="n">
        <x:v>19.4898201</x:v>
      </x:c>
      <x:c r="K29" s="74" t="n">
        <x:v>-99.13027292</x:v>
      </x:c>
      <x:c r="L29" s="75" t="str">
        <x:v>Sí</x:v>
      </x:c>
    </x:row>
    <x:row r="30">
      <x:c r="A30" s="71" t="str">
        <x:v>43111</x:v>
      </x:c>
      <x:c r="B30" s="72" t="str">
        <x:v>Montevideo Insurgentes</x:v>
      </x:c>
      <x:c r="C30" s="72" t="str">
        <x:v>Vanessa Carreño</x:v>
      </x:c>
      <x:c r="D30" s="73" t="n">
        <x:v>45761.75</x:v>
      </x:c>
      <x:c r="E30" s="72" t="str">
        <x:v>Gustavo A. Madero</x:v>
      </x:c>
      <x:c r="F30" s="72" t="str">
        <x:v>Ciudad De México</x:v>
      </x:c>
      <x:c r="G30" s="72" t="str">
        <x:v>Cafe</x:v>
      </x:c>
      <x:c r="H30" s="72" t="str">
        <x:v>Main Avenues</x:v>
      </x:c>
      <x:c r="I30" s="72" t="str">
        <x:v>C2</x:v>
      </x:c>
      <x:c r="J30" s="74" t="n">
        <x:v>19.48767471</x:v>
      </x:c>
      <x:c r="K30" s="74" t="n">
        <x:v>-99.1245027</x:v>
      </x:c>
      <x:c r="L30" s="75" t="str">
        <x:v>Sí</x:v>
      </x:c>
    </x:row>
    <x:row r="31">
      <x:c r="A31" s="71" t="str">
        <x:v>43195</x:v>
      </x:c>
      <x:c r="B31" s="72" t="str">
        <x:v>Parque Jadin kiosko</x:v>
      </x:c>
      <x:c r="C31" s="72" t="str">
        <x:v>Vanessa Carreño</x:v>
      </x:c>
      <x:c r="D31" s="73" t="n">
        <x:v>46007.75</x:v>
      </x:c>
      <x:c r="E31" s="72" t="str">
        <x:v>Azcapotzalco</x:v>
      </x:c>
      <x:c r="F31" s="72" t="str">
        <x:v>Ciudad De México</x:v>
      </x:c>
      <x:c r="G31" s="72" t="str">
        <x:v>Kiosko</x:v>
      </x:c>
      <x:c r="H31" s="72" t="str">
        <x:v>Hypermarket</x:v>
      </x:c>
      <x:c r="I31" s="72" t="str">
        <x:v>C2</x:v>
      </x:c>
      <x:c r="J31" s="74" t="n">
        <x:v>19.46900437</x:v>
      </x:c>
      <x:c r="K31" s="74" t="n">
        <x:v>-99.1594926</x:v>
      </x:c>
      <x:c r="L31" s="75" t="str">
        <x:v>Sí</x:v>
      </x:c>
    </x:row>
    <x:row r="32">
      <x:c r="A32" s="71" t="str">
        <x:v>38546</x:v>
      </x:c>
      <x:c r="B32" s="72" t="str">
        <x:v>Patio Claveria</x:v>
      </x:c>
      <x:c r="C32" s="72" t="str">
        <x:v>Vanessa Carreño</x:v>
      </x:c>
      <x:c r="D32" s="73" t="n">
        <x:v>41905.708333333336</x:v>
      </x:c>
      <x:c r="E32" s="72" t="str">
        <x:v>Azcapotzalco</x:v>
      </x:c>
      <x:c r="F32" s="72" t="str">
        <x:v>Ciudad De México</x:v>
      </x:c>
      <x:c r="G32" s="72" t="str">
        <x:v>Cafe</x:v>
      </x:c>
      <x:c r="H32" s="72" t="str">
        <x:v>Shopping Center</x:v>
      </x:c>
      <x:c r="I32" s="72" t="str">
        <x:v>C2</x:v>
      </x:c>
      <x:c r="J32" s="74" t="n">
        <x:v>19.46372479</x:v>
      </x:c>
      <x:c r="K32" s="74" t="n">
        <x:v>-99.18212386</x:v>
      </x:c>
      <x:c r="L32" s="75" t="str">
        <x:v>Sí</x:v>
      </x:c>
    </x:row>
    <x:row r="33">
      <x:c r="A33" s="71" t="str">
        <x:v>38677</x:v>
      </x:c>
      <x:c r="B33" s="72" t="str">
        <x:v>Patio la Raza</x:v>
      </x:c>
      <x:c r="C33" s="72" t="str">
        <x:v>Vanessa Carreño</x:v>
      </x:c>
      <x:c r="D33" s="73" t="n">
        <x:v>42718.75</x:v>
      </x:c>
      <x:c r="E33" s="72" t="str">
        <x:v>Azcapotzalco</x:v>
      </x:c>
      <x:c r="F33" s="72" t="str">
        <x:v>Ciudad De México</x:v>
      </x:c>
      <x:c r="G33" s="72" t="str">
        <x:v>Cafe</x:v>
      </x:c>
      <x:c r="H33" s="72" t="str">
        <x:v>Shopping Center</x:v>
      </x:c>
      <x:c r="I33" s="72" t="str">
        <x:v>C1</x:v>
      </x:c>
      <x:c r="J33" s="74" t="n">
        <x:v>19.46811471</x:v>
      </x:c>
      <x:c r="K33" s="74" t="n">
        <x:v>-99.14467073</x:v>
      </x:c>
      <x:c r="L33" s="75" t="str">
        <x:v>Sí</x:v>
      </x:c>
    </x:row>
    <x:row r="34">
      <x:c r="A34" s="71" t="str">
        <x:v>38719</x:v>
      </x:c>
      <x:c r="B34" s="72" t="str">
        <x:v>Plaza Fortuna</x:v>
      </x:c>
      <x:c r="C34" s="72" t="str">
        <x:v>Vanessa Carreño</x:v>
      </x:c>
      <x:c r="D34" s="73" t="n">
        <x:v>42821.75</x:v>
      </x:c>
      <x:c r="E34" s="72" t="str">
        <x:v>Gustavo A. Madero</x:v>
      </x:c>
      <x:c r="F34" s="72" t="str">
        <x:v>Ciudad De México</x:v>
      </x:c>
      <x:c r="G34" s="72" t="str">
        <x:v>Cafe</x:v>
      </x:c>
      <x:c r="H34" s="72" t="str">
        <x:v>Hypermarket</x:v>
      </x:c>
      <x:c r="I34" s="72" t="str">
        <x:v>C1</x:v>
      </x:c>
      <x:c r="J34" s="74" t="n">
        <x:v>19.48354117</x:v>
      </x:c>
      <x:c r="K34" s="74" t="n">
        <x:v>-99.13327892</x:v>
      </x:c>
      <x:c r="L34" s="75" t="str">
        <x:v>Sí</x:v>
      </x:c>
    </x:row>
    <x:row r="35">
      <x:c r="A35" s="71" t="str">
        <x:v>43132</x:v>
      </x:c>
      <x:c r="B35" s="72" t="str">
        <x:v>Plaza Vista Norte</x:v>
      </x:c>
      <x:c r="C35" s="72" t="str">
        <x:v>Vanessa Carreño</x:v>
      </x:c>
      <x:c r="D35" s="73" t="n">
        <x:v>45655.75</x:v>
      </x:c>
      <x:c r="E35" s="72" t="str">
        <x:v>Gustavo A. Madero</x:v>
      </x:c>
      <x:c r="F35" s="72" t="str">
        <x:v>Ciudad De México</x:v>
      </x:c>
      <x:c r="G35" s="72" t="str">
        <x:v>Cafe</x:v>
      </x:c>
      <x:c r="H35" s="72" t="str">
        <x:v>Hypermarket</x:v>
      </x:c>
      <x:c r="I35" s="72" t="str">
        <x:v>C2</x:v>
      </x:c>
      <x:c r="J35" s="74" t="n">
        <x:v>19.50161364</x:v>
      </x:c>
      <x:c r="K35" s="74" t="n">
        <x:v>-99.12125306</x:v>
      </x:c>
      <x:c r="L35" s="75" t="str">
        <x:v>Sí</x:v>
      </x:c>
    </x:row>
    <x:row r="36">
      <x:c r="A36" s="71" t="str">
        <x:v>38411</x:v>
      </x:c>
      <x:c r="B36" s="72" t="str">
        <x:v>Torres Lindavista</x:v>
      </x:c>
      <x:c r="C36" s="72" t="str">
        <x:v>Vanessa Carreño</x:v>
      </x:c>
      <x:c r="D36" s="73" t="n">
        <x:v>40636.708333333336</x:v>
      </x:c>
      <x:c r="E36" s="72" t="str">
        <x:v>Gustavo A. Madero</x:v>
      </x:c>
      <x:c r="F36" s="72" t="str">
        <x:v>Ciudad De México</x:v>
      </x:c>
      <x:c r="G36" s="72" t="str">
        <x:v>Cafe</x:v>
      </x:c>
      <x:c r="H36" s="72" t="str">
        <x:v>Hypermarket</x:v>
      </x:c>
      <x:c r="I36" s="72" t="str">
        <x:v>C2</x:v>
      </x:c>
      <x:c r="J36" s="74" t="n">
        <x:v>19.50647617</x:v>
      </x:c>
      <x:c r="K36" s="74" t="n">
        <x:v>-99.1441572</x:v>
      </x:c>
      <x:c r="L36" s="75" t="str">
        <x:v>Sí</x:v>
      </x:c>
    </x:row>
    <x:row r="37">
      <x:c r="A37" s="71" t="str">
        <x:v>38651</x:v>
      </x:c>
      <x:c r="B37" s="72" t="str">
        <x:v>Via Vallejo</x:v>
      </x:c>
      <x:c r="C37" s="72" t="str">
        <x:v>Vanessa Carreño</x:v>
      </x:c>
      <x:c r="D37" s="73" t="n">
        <x:v>42545.708333333336</x:v>
      </x:c>
      <x:c r="E37" s="72" t="str">
        <x:v>Azcapotzalco</x:v>
      </x:c>
      <x:c r="F37" s="72" t="str">
        <x:v>Ciudad De México</x:v>
      </x:c>
      <x:c r="G37" s="72" t="str">
        <x:v>Cafe</x:v>
      </x:c>
      <x:c r="H37" s="72" t="str">
        <x:v>Mall</x:v>
      </x:c>
      <x:c r="I37" s="72" t="str">
        <x:v>C1</x:v>
      </x:c>
      <x:c r="J37" s="74" t="n">
        <x:v>19.48725287</x:v>
      </x:c>
      <x:c r="K37" s="74" t="n">
        <x:v>-99.15168203</x:v>
      </x:c>
      <x:c r="L37" s="75" t="str">
        <x:v>Sí</x:v>
      </x:c>
    </x:row>
    <x:row r="38">
      <x:c r="A38" s="71" t="str">
        <x:v>38930</x:v>
      </x:c>
      <x:c r="B38" s="72" t="str">
        <x:v>Blvd. Aeropuerto dt</x:v>
      </x:c>
      <x:c r="C38" s="72" t="str">
        <x:v>Veronica García</x:v>
      </x:c>
      <x:c r="D38" s="73" t="n">
        <x:v>44833.708333333336</x:v>
      </x:c>
      <x:c r="E38" s="72" t="str">
        <x:v>Venustiano Carranza</x:v>
      </x:c>
      <x:c r="F38" s="72" t="str">
        <x:v>Ciudad De México</x:v>
      </x:c>
      <x:c r="G38" s="72" t="str">
        <x:v>Drive_Thru</x:v>
      </x:c>
      <x:c r="H38" s="72" t="str">
        <x:v>Highway</x:v>
      </x:c>
      <x:c r="I38" s="72" t="str">
        <x:v>C2</x:v>
      </x:c>
      <x:c r="J38" s="74" t="n">
        <x:v>19.4246878</x:v>
      </x:c>
      <x:c r="K38" s="74" t="n">
        <x:v>-99.09329076</x:v>
      </x:c>
      <x:c r="L38" s="75" t="str">
        <x:v>Sí</x:v>
      </x:c>
    </x:row>
    <x:row r="39">
      <x:c r="A39" s="71" t="str">
        <x:v>38529</x:v>
      </x:c>
      <x:c r="B39" s="72" t="str">
        <x:v>Bosques de Aragon</x:v>
      </x:c>
      <x:c r="C39" s="72" t="str">
        <x:v>Veronica García</x:v>
      </x:c>
      <x:c r="D39" s="73" t="n">
        <x:v>41689.75</x:v>
      </x:c>
      <x:c r="E39" s="72" t="str">
        <x:v>Gustavo A. Madero</x:v>
      </x:c>
      <x:c r="F39" s="72" t="str">
        <x:v>Ciudad De México</x:v>
      </x:c>
      <x:c r="G39" s="72" t="str">
        <x:v>Cafe</x:v>
      </x:c>
      <x:c r="H39" s="72" t="str">
        <x:v>Shopping Center</x:v>
      </x:c>
      <x:c r="I39" s="72" t="str">
        <x:v>C2</x:v>
      </x:c>
      <x:c r="J39" s="74" t="n">
        <x:v>19.46560093</x:v>
      </x:c>
      <x:c r="K39" s="74" t="n">
        <x:v>-99.08451316</x:v>
      </x:c>
      <x:c r="L39" s="75" t="str">
        <x:v>Sí</x:v>
      </x:c>
    </x:row>
    <x:row r="40">
      <x:c r="A40" s="71" t="str">
        <x:v>38431</x:v>
      </x:c>
      <x:c r="B40" s="72" t="str">
        <x:v>Eduardo Molina</x:v>
      </x:c>
      <x:c r="C40" s="72" t="str">
        <x:v>Veronica García</x:v>
      </x:c>
      <x:c r="D40" s="73" t="n">
        <x:v>40884.75</x:v>
      </x:c>
      <x:c r="E40" s="72" t="str">
        <x:v>Gustavo A. Madero</x:v>
      </x:c>
      <x:c r="F40" s="72" t="str">
        <x:v>Ciudad De México</x:v>
      </x:c>
      <x:c r="G40" s="72" t="str">
        <x:v>Cafe</x:v>
      </x:c>
      <x:c r="H40" s="72" t="str">
        <x:v>Hypermarket</x:v>
      </x:c>
      <x:c r="I40" s="72" t="str">
        <x:v>C1</x:v>
      </x:c>
      <x:c r="J40" s="74" t="n">
        <x:v>19.47958733</x:v>
      </x:c>
      <x:c r="K40" s="74" t="n">
        <x:v>-99.09604871</x:v>
      </x:c>
      <x:c r="L40" s="75" t="str">
        <x:v>Sí</x:v>
      </x:c>
    </x:row>
    <x:row r="41">
      <x:c r="A41" s="71" t="str">
        <x:v>38903</x:v>
      </x:c>
      <x:c r="B41" s="72" t="str">
        <x:v>Encuentro Oceania</x:v>
      </x:c>
      <x:c r="C41" s="72" t="str">
        <x:v>Veronica García</x:v>
      </x:c>
      <x:c r="D41" s="73" t="n">
        <x:v>44553.75</x:v>
      </x:c>
      <x:c r="E41" s="72" t="str">
        <x:v>Venustiano Carranza</x:v>
      </x:c>
      <x:c r="F41" s="72" t="str">
        <x:v>Ciudad De México</x:v>
      </x:c>
      <x:c r="G41" s="72" t="str">
        <x:v>Cafe</x:v>
      </x:c>
      <x:c r="H41" s="72" t="str">
        <x:v>Mall</x:v>
      </x:c>
      <x:c r="I41" s="72" t="str">
        <x:v>C1</x:v>
      </x:c>
      <x:c r="J41" s="74" t="n">
        <x:v>19.44013166</x:v>
      </x:c>
      <x:c r="K41" s="74" t="n">
        <x:v>-99.0941487</x:v>
      </x:c>
      <x:c r="L41" s="75" t="str">
        <x:v>Sí</x:v>
      </x:c>
    </x:row>
    <x:row r="42">
      <x:c r="A42" s="71" t="str">
        <x:v>38995</x:v>
      </x:c>
      <x:c r="B42" s="72" t="str">
        <x:v>Encuentro Oceania II</x:v>
      </x:c>
      <x:c r="C42" s="72" t="str">
        <x:v>Veronica García</x:v>
      </x:c>
      <x:c r="D42" s="73" t="n">
        <x:v>45230.75</x:v>
      </x:c>
      <x:c r="E42" s="72" t="str">
        <x:v>Venustiano Carranza</x:v>
      </x:c>
      <x:c r="F42" s="72" t="str">
        <x:v>Ciudad De México</x:v>
      </x:c>
      <x:c r="G42" s="72" t="str">
        <x:v>Cafe</x:v>
      </x:c>
      <x:c r="H42" s="72" t="str">
        <x:v>Mall</x:v>
      </x:c>
      <x:c r="I42" s="72" t="str">
        <x:v>C1</x:v>
      </x:c>
      <x:c r="J42" s="74" t="n">
        <x:v>19.43896908</x:v>
      </x:c>
      <x:c r="K42" s="74" t="n">
        <x:v>-99.09459811</x:v>
      </x:c>
      <x:c r="L42" s="75" t="str">
        <x:v>Sí</x:v>
      </x:c>
    </x:row>
    <x:row r="43">
      <x:c r="A43" s="71" t="str">
        <x:v>38937</x:v>
      </x:c>
      <x:c r="B43" s="72" t="str">
        <x:v>Parque Tepeyac Piso 1</x:v>
      </x:c>
      <x:c r="C43" s="72" t="str">
        <x:v>Veronica García</x:v>
      </x:c>
      <x:c r="D43" s="73" t="n">
        <x:v>44875.75</x:v>
      </x:c>
      <x:c r="E43" s="72" t="str">
        <x:v>Gustavo A. Madero</x:v>
      </x:c>
      <x:c r="F43" s="72" t="str">
        <x:v>Ciudad De México</x:v>
      </x:c>
      <x:c r="G43" s="72" t="str">
        <x:v>Cafe</x:v>
      </x:c>
      <x:c r="H43" s="72" t="str">
        <x:v>Mall</x:v>
      </x:c>
      <x:c r="I43" s="72" t="str">
        <x:v>C2</x:v>
      </x:c>
      <x:c r="J43" s="74" t="n">
        <x:v>19.47774424</x:v>
      </x:c>
      <x:c r="K43" s="74" t="n">
        <x:v>-99.09910405</x:v>
      </x:c>
      <x:c r="L43" s="75" t="str">
        <x:v>Sí</x:v>
      </x:c>
    </x:row>
    <x:row r="44">
      <x:c r="A44" s="71" t="str">
        <x:v>38965</x:v>
      </x:c>
      <x:c r="B44" s="72" t="str">
        <x:v>Parque Tepeyac Piso 2</x:v>
      </x:c>
      <x:c r="C44" s="72" t="str">
        <x:v>Veronica García</x:v>
      </x:c>
      <x:c r="D44" s="73" t="n">
        <x:v>45183.75</x:v>
      </x:c>
      <x:c r="E44" s="72" t="str">
        <x:v>Gustavo A. Madero</x:v>
      </x:c>
      <x:c r="F44" s="72" t="str">
        <x:v>Ciudad De México</x:v>
      </x:c>
      <x:c r="G44" s="72" t="str">
        <x:v>Cafe</x:v>
      </x:c>
      <x:c r="H44" s="72" t="str">
        <x:v>Mall</x:v>
      </x:c>
      <x:c r="I44" s="72" t="str">
        <x:v>C2</x:v>
      </x:c>
      <x:c r="J44" s="74" t="n">
        <x:v>19.47784704</x:v>
      </x:c>
      <x:c r="K44" s="74" t="n">
        <x:v>-99.09905673</x:v>
      </x:c>
      <x:c r="L44" s="75" t="str">
        <x:v>Sí</x:v>
      </x:c>
    </x:row>
    <x:row r="45">
      <x:c r="A45" s="71" t="str">
        <x:v>38924</x:v>
      </x:c>
      <x:c r="B45" s="72" t="str">
        <x:v>Plaza Aeropuerto</x:v>
      </x:c>
      <x:c r="C45" s="72" t="str">
        <x:v>Veronica García</x:v>
      </x:c>
      <x:c r="D45" s="73" t="n">
        <x:v>44828.708333333336</x:v>
      </x:c>
      <x:c r="E45" s="72" t="str">
        <x:v>Venustiano Carranza</x:v>
      </x:c>
      <x:c r="F45" s="72" t="str">
        <x:v>Ciudad De México</x:v>
      </x:c>
      <x:c r="G45" s="72" t="str">
        <x:v>Kiosko</x:v>
      </x:c>
      <x:c r="H45" s="72" t="str">
        <x:v>Shopping Center</x:v>
      </x:c>
      <x:c r="I45" s="72" t="str">
        <x:v>C2</x:v>
      </x:c>
      <x:c r="J45" s="74" t="n">
        <x:v>19.42118392</x:v>
      </x:c>
      <x:c r="K45" s="74" t="n">
        <x:v>-99.0966938</x:v>
      </x:c>
      <x:c r="L45" s="75" t="str">
        <x:v>Sí</x:v>
      </x:c>
    </x:row>
    <x:row r="46">
      <x:c r="A46" s="71" t="str">
        <x:v>38811</x:v>
      </x:c>
      <x:c r="B46" s="72" t="str">
        <x:v>Plaza Tepeyac</x:v>
      </x:c>
      <x:c r="C46" s="72" t="str">
        <x:v>Veronica García</x:v>
      </x:c>
      <x:c r="D46" s="73" t="n">
        <x:v>43269.708333333336</x:v>
      </x:c>
      <x:c r="E46" s="72" t="str">
        <x:v>Gustavo A. Madero</x:v>
      </x:c>
      <x:c r="F46" s="72" t="str">
        <x:v>Ciudad De México</x:v>
      </x:c>
      <x:c r="G46" s="72" t="str">
        <x:v>Kiosko</x:v>
      </x:c>
      <x:c r="H46" s="72" t="str">
        <x:v>Hypermarket</x:v>
      </x:c>
      <x:c r="I46" s="72" t="str">
        <x:v>C2</x:v>
      </x:c>
      <x:c r="J46" s="74" t="n">
        <x:v>19.47171664</x:v>
      </x:c>
      <x:c r="K46" s="74" t="n">
        <x:v>-99.1193661</x:v>
      </x:c>
      <x:c r="L46" s="75" t="str">
        <x:v>Sí</x:v>
      </x:c>
    </x:row>
    <x:row r="47">
      <x:c r="A47" s="71" t="str">
        <x:v>38992</x:v>
      </x:c>
      <x:c r="B47" s="72" t="str">
        <x:v>Tapo Puerta Oriente</x:v>
      </x:c>
      <x:c r="C47" s="72" t="str">
        <x:v>Veronica García</x:v>
      </x:c>
      <x:c r="D47" s="73" t="n">
        <x:v>45290.75</x:v>
      </x:c>
      <x:c r="E47" s="72" t="str">
        <x:v>Venustiano Carranza</x:v>
      </x:c>
      <x:c r="F47" s="72" t="str">
        <x:v>Ciudad De México</x:v>
      </x:c>
      <x:c r="G47" s="72" t="str">
        <x:v>Cafe</x:v>
      </x:c>
      <x:c r="H47" s="72" t="str">
        <x:v>Train &amp; Bus Stations</x:v>
      </x:c>
      <x:c r="I47" s="72" t="str">
        <x:v>C2</x:v>
      </x:c>
      <x:c r="J47" s="74" t="n">
        <x:v>19.43085206</x:v>
      </x:c>
      <x:c r="K47" s="74" t="n">
        <x:v>-99.11476917</x:v>
      </x:c>
      <x:c r="L47" s="75" t="str">
        <x:v>Sí</x:v>
      </x:c>
    </x:row>
    <x:row r="48">
      <x:c r="A48" s="71" t="str">
        <x:v>38695</x:v>
      </x:c>
      <x:c r="B48" s="72" t="str">
        <x:v>Cetram 4 Caminos</x:v>
      </x:c>
      <x:c r="C48" s="72" t="str">
        <x:v>Yazmin Chabela</x:v>
      </x:c>
      <x:c r="D48" s="73" t="n">
        <x:v>42713.75</x:v>
      </x:c>
      <x:c r="E48" s="72" t="str">
        <x:v>Naucalpan</x:v>
      </x:c>
      <x:c r="F48" s="72" t="str">
        <x:v>Estado De México</x:v>
      </x:c>
      <x:c r="G48" s="72" t="str">
        <x:v>Cafe</x:v>
      </x:c>
      <x:c r="H48" s="72" t="str">
        <x:v>Train &amp; Bus Stations</x:v>
      </x:c>
      <x:c r="I48" s="72" t="str">
        <x:v>C1</x:v>
      </x:c>
      <x:c r="J48" s="74" t="n">
        <x:v>19.46049483</x:v>
      </x:c>
      <x:c r="K48" s="74" t="n">
        <x:v>-99.21517073</x:v>
      </x:c>
      <x:c r="L48" s="75" t="str">
        <x:v>Sí</x:v>
      </x:c>
    </x:row>
    <x:row r="49">
      <x:c r="A49" s="71" t="str">
        <x:v>38197</x:v>
      </x:c>
      <x:c r="B49" s="72" t="str">
        <x:v>Echegaray</x:v>
      </x:c>
      <x:c r="C49" s="72" t="str">
        <x:v>Yazmin Chabela</x:v>
      </x:c>
      <x:c r="D49" s="73" t="n">
        <x:v>38965.708333333336</x:v>
      </x:c>
      <x:c r="E49" s="72" t="str">
        <x:v>Naucalpan</x:v>
      </x:c>
      <x:c r="F49" s="72" t="str">
        <x:v>Estado De México</x:v>
      </x:c>
      <x:c r="G49" s="72" t="str">
        <x:v>Cafe</x:v>
      </x:c>
      <x:c r="H49" s="72" t="str">
        <x:v>Neighborhood</x:v>
      </x:c>
      <x:c r="I49" s="72" t="str">
        <x:v>C2</x:v>
      </x:c>
      <x:c r="J49" s="74" t="n">
        <x:v>19.48699554</x:v>
      </x:c>
      <x:c r="K49" s="74" t="n">
        <x:v>-99.2329265</x:v>
      </x:c>
      <x:c r="L49" s="75" t="str">
        <x:v>Sí</x:v>
      </x:c>
    </x:row>
    <x:row r="50">
      <x:c r="A50" s="71" t="str">
        <x:v>38458</x:v>
      </x:c>
      <x:c r="B50" s="72" t="str">
        <x:v>El Rosario</x:v>
      </x:c>
      <x:c r="C50" s="72" t="str">
        <x:v>Yazmin Chabela</x:v>
      </x:c>
      <x:c r="D50" s="73" t="n">
        <x:v>41088.708333333336</x:v>
      </x:c>
      <x:c r="E50" s="72" t="str">
        <x:v>Azcapotzalco</x:v>
      </x:c>
      <x:c r="F50" s="72" t="str">
        <x:v>Ciudad De México</x:v>
      </x:c>
      <x:c r="G50" s="72" t="str">
        <x:v>Kiosko</x:v>
      </x:c>
      <x:c r="H50" s="72" t="str">
        <x:v>Hypermarket</x:v>
      </x:c>
      <x:c r="I50" s="72" t="str">
        <x:v>C1</x:v>
      </x:c>
      <x:c r="J50" s="74" t="n">
        <x:v>19.50335206</x:v>
      </x:c>
      <x:c r="K50" s="74" t="n">
        <x:v>-99.2034101</x:v>
      </x:c>
      <x:c r="L50" s="75" t="str">
        <x:v>Sí</x:v>
      </x:c>
    </x:row>
    <x:row r="51">
      <x:c r="A51" s="71" t="str">
        <x:v>38770</x:v>
      </x:c>
      <x:c r="B51" s="72" t="str">
        <x:v>Gustavo Baz 29</x:v>
      </x:c>
      <x:c r="C51" s="72" t="str">
        <x:v>Yazmin Chabela</x:v>
      </x:c>
      <x:c r="D51" s="73" t="n">
        <x:v>43135.75</x:v>
      </x:c>
      <x:c r="E51" s="72" t="str">
        <x:v>Tlalnepantla</x:v>
      </x:c>
      <x:c r="F51" s="72" t="str">
        <x:v>Estado De México</x:v>
      </x:c>
      <x:c r="G51" s="72" t="str">
        <x:v>Cafe</x:v>
      </x:c>
      <x:c r="H51" s="72" t="str">
        <x:v>Shopping Center</x:v>
      </x:c>
      <x:c r="I51" s="72" t="str">
        <x:v>C1</x:v>
      </x:c>
      <x:c r="J51" s="74" t="n">
        <x:v>19.50908671</x:v>
      </x:c>
      <x:c r="K51" s="74" t="n">
        <x:v>-99.21982398</x:v>
      </x:c>
      <x:c r="L51" s="75" t="str">
        <x:v>Sí</x:v>
      </x:c>
    </x:row>
    <x:row r="52">
      <x:c r="A52" s="71" t="str">
        <x:v>38561</x:v>
      </x:c>
      <x:c r="B52" s="72" t="str">
        <x:v>Parque Toreo</x:v>
      </x:c>
      <x:c r="C52" s="72" t="str">
        <x:v>Yazmin Chabela</x:v>
      </x:c>
      <x:c r="D52" s="73" t="n">
        <x:v>41971.75</x:v>
      </x:c>
      <x:c r="E52" s="72" t="str">
        <x:v>Naucalpan</x:v>
      </x:c>
      <x:c r="F52" s="72" t="str">
        <x:v>Estado De México</x:v>
      </x:c>
      <x:c r="G52" s="72" t="str">
        <x:v>Cafe</x:v>
      </x:c>
      <x:c r="H52" s="72" t="str">
        <x:v>Mall</x:v>
      </x:c>
      <x:c r="I52" s="72" t="str">
        <x:v>C2</x:v>
      </x:c>
      <x:c r="J52" s="74" t="n">
        <x:v>19.45468934</x:v>
      </x:c>
      <x:c r="K52" s="74" t="n">
        <x:v>-99.21902146</x:v>
      </x:c>
      <x:c r="L52" s="75" t="str">
        <x:v>Sí</x:v>
      </x:c>
    </x:row>
    <x:row r="53">
      <x:c r="A53" s="71" t="str">
        <x:v>38590</x:v>
      </x:c>
      <x:c r="B53" s="72" t="str">
        <x:v>Parque Toreo II</x:v>
      </x:c>
      <x:c r="C53" s="72" t="str">
        <x:v>Yazmin Chabela</x:v>
      </x:c>
      <x:c r="D53" s="73" t="n">
        <x:v>42245.708333333336</x:v>
      </x:c>
      <x:c r="E53" s="72" t="str">
        <x:v>Naucalpan</x:v>
      </x:c>
      <x:c r="F53" s="72" t="str">
        <x:v>Estado De México</x:v>
      </x:c>
      <x:c r="G53" s="72" t="str">
        <x:v>Kiosko</x:v>
      </x:c>
      <x:c r="H53" s="72" t="str">
        <x:v>Mall</x:v>
      </x:c>
      <x:c r="I53" s="72" t="str">
        <x:v>C2</x:v>
      </x:c>
      <x:c r="J53" s="74" t="n">
        <x:v>19.45465704</x:v>
      </x:c>
      <x:c r="K53" s="74" t="n">
        <x:v>-99.219035</x:v>
      </x:c>
      <x:c r="L53" s="75" t="str">
        <x:v>Sí</x:v>
      </x:c>
    </x:row>
    <x:row r="54">
      <x:c r="A54" s="71" t="str">
        <x:v>38176</x:v>
      </x:c>
      <x:c r="B54" s="72" t="str">
        <x:v>Periferico Satélite DT</x:v>
      </x:c>
      <x:c r="C54" s="72" t="str">
        <x:v>Yazmin Chabela</x:v>
      </x:c>
      <x:c r="D54" s="73" t="n">
        <x:v>44704.708333333336</x:v>
      </x:c>
      <x:c r="E54" s="72" t="str">
        <x:v>Naucalpan</x:v>
      </x:c>
      <x:c r="F54" s="72" t="str">
        <x:v>Estado De México</x:v>
      </x:c>
      <x:c r="G54" s="72" t="str">
        <x:v>Drive_Thru</x:v>
      </x:c>
      <x:c r="H54" s="72" t="str">
        <x:v>Highway</x:v>
      </x:c>
      <x:c r="I54" s="72" t="str">
        <x:v>C2</x:v>
      </x:c>
      <x:c r="J54" s="74" t="n">
        <x:v>19.50731704</x:v>
      </x:c>
      <x:c r="K54" s="74" t="n">
        <x:v>-99.23714076</x:v>
      </x:c>
      <x:c r="L54" s="75" t="str">
        <x:v>Sí</x:v>
      </x:c>
    </x:row>
    <x:row r="55">
      <x:c r="A55" s="71" t="str">
        <x:v>38427</x:v>
      </x:c>
      <x:c r="B55" s="72" t="str">
        <x:v>Plaza Satelite</x:v>
      </x:c>
      <x:c r="C55" s="72" t="str">
        <x:v>Yazmin Chabela</x:v>
      </x:c>
      <x:c r="D55" s="73" t="n">
        <x:v>40859.75</x:v>
      </x:c>
      <x:c r="E55" s="72" t="str">
        <x:v>Naucalpan</x:v>
      </x:c>
      <x:c r="F55" s="72" t="str">
        <x:v>Estado De México</x:v>
      </x:c>
      <x:c r="G55" s="72" t="str">
        <x:v>Cafe</x:v>
      </x:c>
      <x:c r="H55" s="72" t="str">
        <x:v>Mall</x:v>
      </x:c>
      <x:c r="I55" s="72" t="str">
        <x:v>C2</x:v>
      </x:c>
      <x:c r="J55" s="74" t="n">
        <x:v>19.51106961</x:v>
      </x:c>
      <x:c r="K55" s="74" t="n">
        <x:v>-99.23339456</x:v>
      </x:c>
      <x:c r="L55" s="75" t="str">
        <x:v>Sí</x:v>
      </x:c>
    </x:row>
    <x:row r="56">
      <x:c r="A56" s="71" t="str">
        <x:v>38859</x:v>
      </x:c>
      <x:c r="B56" s="72" t="str">
        <x:v>Plaza Satelite II N1</x:v>
      </x:c>
      <x:c r="C56" s="72" t="str">
        <x:v>Yazmin Chabela</x:v>
      </x:c>
      <x:c r="D56" s="73" t="n">
        <x:v>43507.75</x:v>
      </x:c>
      <x:c r="E56" s="72" t="str">
        <x:v>Naucalpan</x:v>
      </x:c>
      <x:c r="F56" s="72" t="str">
        <x:v>Estado De México</x:v>
      </x:c>
      <x:c r="G56" s="72" t="str">
        <x:v>Cafe</x:v>
      </x:c>
      <x:c r="H56" s="72" t="str">
        <x:v>Mall</x:v>
      </x:c>
      <x:c r="I56" s="72" t="str">
        <x:v>C2</x:v>
      </x:c>
      <x:c r="J56" s="74" t="n">
        <x:v>19.51026426</x:v>
      </x:c>
      <x:c r="K56" s="74" t="n">
        <x:v>-99.23423103</x:v>
      </x:c>
      <x:c r="L56" s="75" t="str">
        <x:v>Sí</x:v>
      </x:c>
    </x:row>
    <x:row r="57">
      <x:c r="A57" s="71" t="str">
        <x:v>43152</x:v>
      </x:c>
      <x:c r="B57" s="72" t="str">
        <x:v>Samara Satélite</x:v>
      </x:c>
      <x:c r="C57" s="72" t="str">
        <x:v>Yazmin Chabela</x:v>
      </x:c>
      <x:c r="D57" s="73" t="n">
        <x:v>45895.75</x:v>
      </x:c>
      <x:c r="E57" s="72" t="str">
        <x:v>Naucalpan</x:v>
      </x:c>
      <x:c r="F57" s="72" t="str">
        <x:v>Estado De México</x:v>
      </x:c>
      <x:c r="G57" s="72" t="str">
        <x:v>Cafe</x:v>
      </x:c>
      <x:c r="H57" s="72" t="str">
        <x:v>Mall</x:v>
      </x:c>
      <x:c r="I57" s="72" t="str">
        <x:v>C1</x:v>
      </x:c>
      <x:c r="J57" s="74" t="n">
        <x:v>19.50621108</x:v>
      </x:c>
      <x:c r="K57" s="74" t="n">
        <x:v>-99.23568797</x:v>
      </x:c>
      <x:c r="L57" s="75" t="str">
        <x:v>Sí</x:v>
      </x:c>
    </x:row>
    <x:row r="58">
      <x:c r="A58" s="71" t="str">
        <x:v>38117</x:v>
      </x:c>
      <x:c r="B58" s="72" t="str">
        <x:v>Satelite</x:v>
      </x:c>
      <x:c r="C58" s="72" t="str">
        <x:v>Yazmin Chabela</x:v>
      </x:c>
      <x:c r="D58" s="73" t="n">
        <x:v>37892.708333333336</x:v>
      </x:c>
      <x:c r="E58" s="72" t="str">
        <x:v>Naucalpan</x:v>
      </x:c>
      <x:c r="F58" s="72" t="str">
        <x:v>Estado De México</x:v>
      </x:c>
      <x:c r="G58" s="72" t="str">
        <x:v>Cafe</x:v>
      </x:c>
      <x:c r="H58" s="72" t="str">
        <x:v>Street</x:v>
      </x:c>
      <x:c r="I58" s="72" t="str">
        <x:v>C1</x:v>
      </x:c>
      <x:c r="J58" s="74" t="n">
        <x:v>19.50687435</x:v>
      </x:c>
      <x:c r="K58" s="74" t="n">
        <x:v>-99.23383088</x:v>
      </x:c>
      <x:c r="L58" s="75" t="str">
        <x:v>Sí</x:v>
      </x:c>
    </x:row>
    <x:row r="59">
      <x:c r="A59" s="71" t="str">
        <x:v>38475</x:v>
      </x:c>
      <x:c r="B59" s="72" t="str">
        <x:v>Satelite Centro Civico</x:v>
      </x:c>
      <x:c r="C59" s="72" t="str">
        <x:v>Yazmin Chabela</x:v>
      </x:c>
      <x:c r="D59" s="73" t="n">
        <x:v>41249.75</x:v>
      </x:c>
      <x:c r="E59" s="72" t="str">
        <x:v>Naucalpan</x:v>
      </x:c>
      <x:c r="F59" s="72" t="str">
        <x:v>Estado De México</x:v>
      </x:c>
      <x:c r="G59" s="72" t="str">
        <x:v>Cafe</x:v>
      </x:c>
      <x:c r="H59" s="72" t="str">
        <x:v>Neighborhood</x:v>
      </x:c>
      <x:c r="I59" s="72" t="str">
        <x:v>C1</x:v>
      </x:c>
      <x:c r="J59" s="74" t="n">
        <x:v>19.51066846</x:v>
      </x:c>
      <x:c r="K59" s="74" t="n">
        <x:v>-99.22947256</x:v>
      </x:c>
      <x:c r="L59" s="75" t="str">
        <x:v>Sí</x:v>
      </x:c>
    </x:row>
    <x:row r="60">
      <x:c r="A60" s="71" t="str">
        <x:v>38656</x:v>
      </x:c>
      <x:c r="B60" s="72" t="str">
        <x:v>Viveros de la Loma</x:v>
      </x:c>
      <x:c r="C60" s="72" t="str">
        <x:v>Yazmin Chabela</x:v>
      </x:c>
      <x:c r="D60" s="73" t="n">
        <x:v>42579.708333333336</x:v>
      </x:c>
      <x:c r="E60" s="72" t="str">
        <x:v>Tlalnepantla</x:v>
      </x:c>
      <x:c r="F60" s="72" t="str">
        <x:v>Estado De México</x:v>
      </x:c>
      <x:c r="G60" s="72" t="str">
        <x:v>Drive_Thru</x:v>
      </x:c>
      <x:c r="H60" s="72" t="str">
        <x:v>Neighborhood</x:v>
      </x:c>
      <x:c r="I60" s="72" t="str">
        <x:v>C2</x:v>
      </x:c>
      <x:c r="J60" s="74" t="n">
        <x:v>19.52537517</x:v>
      </x:c>
      <x:c r="K60" s="74" t="n">
        <x:v>-99.22494146</x:v>
      </x:c>
      <x:c r="L60" s="75" t="str">
        <x:v>Sí</x:v>
      </x:c>
    </x:row>
    <x:row r="61">
      <x:c r="A61" s="71" t="str">
        <x:v>43043</x:v>
      </x:c>
      <x:c r="B61" s="72" t="str">
        <x:v>Atizapan</x:v>
      </x:c>
      <x:c r="C61" s="72" t="str">
        <x:v>Yazmin García</x:v>
      </x:c>
      <x:c r="D61" s="73" t="n">
        <x:v>45436.75</x:v>
      </x:c>
      <x:c r="E61" s="72" t="str">
        <x:v>Atizapan De Zaragoza</x:v>
      </x:c>
      <x:c r="F61" s="72" t="str">
        <x:v>Estado De México</x:v>
      </x:c>
      <x:c r="G61" s="72" t="str">
        <x:v>Cafe</x:v>
      </x:c>
      <x:c r="H61" s="72" t="str">
        <x:v>Street</x:v>
      </x:c>
      <x:c r="I61" s="72" t="str">
        <x:v>C1</x:v>
      </x:c>
      <x:c r="J61" s="74" t="n">
        <x:v>19.5546593</x:v>
      </x:c>
      <x:c r="K61" s="74" t="n">
        <x:v>-99.26766941</x:v>
      </x:c>
      <x:c r="L61" s="75" t="str">
        <x:v>Sí</x:v>
      </x:c>
    </x:row>
    <x:row r="62">
      <x:c r="A62" s="71" t="str">
        <x:v>38149</x:v>
      </x:c>
      <x:c r="B62" s="72" t="str">
        <x:v>Bellavista</x:v>
      </x:c>
      <x:c r="C62" s="72" t="str">
        <x:v>Yazmin García</x:v>
      </x:c>
      <x:c r="D62" s="73" t="n">
        <x:v>38442.75</x:v>
      </x:c>
      <x:c r="E62" s="72" t="str">
        <x:v>Tlalnepantla</x:v>
      </x:c>
      <x:c r="F62" s="72" t="str">
        <x:v>Estado De México</x:v>
      </x:c>
      <x:c r="G62" s="72" t="str">
        <x:v>Cafe</x:v>
      </x:c>
      <x:c r="H62" s="72" t="str">
        <x:v>Shopping Center</x:v>
      </x:c>
      <x:c r="I62" s="72" t="str">
        <x:v>C2</x:v>
      </x:c>
      <x:c r="J62" s="74" t="n">
        <x:v>19.51894704</x:v>
      </x:c>
      <x:c r="K62" s="74" t="n">
        <x:v>-99.24687786</x:v>
      </x:c>
      <x:c r="L62" s="75" t="str">
        <x:v>Sí</x:v>
      </x:c>
    </x:row>
    <x:row r="63">
      <x:c r="A63" s="71" t="str">
        <x:v>38394</x:v>
      </x:c>
      <x:c r="B63" s="72" t="str">
        <x:v>Centro Comercial Lomas Verdes</x:v>
      </x:c>
      <x:c r="C63" s="72" t="str">
        <x:v>Yazmin García</x:v>
      </x:c>
      <x:c r="D63" s="73" t="n">
        <x:v>40494.75</x:v>
      </x:c>
      <x:c r="E63" s="72" t="str">
        <x:v>Naucalpan</x:v>
      </x:c>
      <x:c r="F63" s="72" t="str">
        <x:v>Estado De México</x:v>
      </x:c>
      <x:c r="G63" s="72" t="str">
        <x:v>Kiosko</x:v>
      </x:c>
      <x:c r="H63" s="72" t="str">
        <x:v>Shopping Center</x:v>
      </x:c>
      <x:c r="I63" s="72" t="str">
        <x:v>C1</x:v>
      </x:c>
      <x:c r="J63" s="74" t="n">
        <x:v>19.49609752</x:v>
      </x:c>
      <x:c r="K63" s="74" t="n">
        <x:v>-99.2469041</x:v>
      </x:c>
      <x:c r="L63" s="75" t="str">
        <x:v>Sí</x:v>
      </x:c>
    </x:row>
    <x:row r="64">
      <x:c r="A64" s="71" t="str">
        <x:v>38535</x:v>
      </x:c>
      <x:c r="B64" s="72" t="str">
        <x:v>City Center Esmeralda</x:v>
      </x:c>
      <x:c r="C64" s="72" t="str">
        <x:v>Yazmin García</x:v>
      </x:c>
      <x:c r="D64" s="73" t="n">
        <x:v>41795.708333333336</x:v>
      </x:c>
      <x:c r="E64" s="72" t="str">
        <x:v>Atizapan De Zaragoza</x:v>
      </x:c>
      <x:c r="F64" s="72" t="str">
        <x:v>Estado De México</x:v>
      </x:c>
      <x:c r="G64" s="72" t="str">
        <x:v>Drive_Thru</x:v>
      </x:c>
      <x:c r="H64" s="72" t="str">
        <x:v>Hypermarket</x:v>
      </x:c>
      <x:c r="I64" s="72" t="str">
        <x:v>C2</x:v>
      </x:c>
      <x:c r="J64" s="74" t="n">
        <x:v>19.54964287</x:v>
      </x:c>
      <x:c r="K64" s="74" t="n">
        <x:v>-99.28755274</x:v>
      </x:c>
      <x:c r="L64" s="75" t="str">
        <x:v>Sí</x:v>
      </x:c>
    </x:row>
    <x:row r="65">
      <x:c r="A65" s="71" t="str">
        <x:v>38507</x:v>
      </x:c>
      <x:c r="B65" s="72" t="str">
        <x:v>Espacio Vista del Valle</x:v>
      </x:c>
      <x:c r="C65" s="72" t="str">
        <x:v>Yazmin García</x:v>
      </x:c>
      <x:c r="D65" s="73" t="n">
        <x:v>41536.708333333336</x:v>
      </x:c>
      <x:c r="E65" s="72" t="str">
        <x:v>Naucalpan</x:v>
      </x:c>
      <x:c r="F65" s="72" t="str">
        <x:v>Estado De México</x:v>
      </x:c>
      <x:c r="G65" s="72" t="str">
        <x:v>Cafe</x:v>
      </x:c>
      <x:c r="H65" s="72" t="str">
        <x:v>Shopping Center</x:v>
      </x:c>
      <x:c r="I65" s="72" t="str">
        <x:v>C2</x:v>
      </x:c>
      <x:c r="J65" s="74" t="n">
        <x:v>19.47730506</x:v>
      </x:c>
      <x:c r="K65" s="74" t="n">
        <x:v>-99.26872646</x:v>
      </x:c>
      <x:c r="L65" s="75" t="str">
        <x:v>Sí</x:v>
      </x:c>
    </x:row>
    <x:row r="66">
      <x:c r="A66" s="71" t="str">
        <x:v>38363</x:v>
      </x:c>
      <x:c r="B66" s="72" t="str">
        <x:v>Galerias Atizapan</x:v>
      </x:c>
      <x:c r="C66" s="72" t="str">
        <x:v>Yazmin García</x:v>
      </x:c>
      <x:c r="D66" s="73" t="n">
        <x:v>39892.75</x:v>
      </x:c>
      <x:c r="E66" s="72" t="str">
        <x:v>Atizapan De Zaragoza</x:v>
      </x:c>
      <x:c r="F66" s="72" t="str">
        <x:v>Estado De México</x:v>
      </x:c>
      <x:c r="G66" s="72" t="str">
        <x:v>Cafe</x:v>
      </x:c>
      <x:c r="H66" s="72" t="str">
        <x:v>Mall</x:v>
      </x:c>
      <x:c r="I66" s="72" t="str">
        <x:v>C2</x:v>
      </x:c>
      <x:c r="J66" s="74" t="n">
        <x:v>19.54919506</x:v>
      </x:c>
      <x:c r="K66" s="74" t="n">
        <x:v>-99.27443927</x:v>
      </x:c>
      <x:c r="L66" s="75" t="str">
        <x:v>Sí</x:v>
      </x:c>
    </x:row>
    <x:row r="67">
      <x:c r="A67" s="71" t="str">
        <x:v>38119</x:v>
      </x:c>
      <x:c r="B67" s="72" t="str">
        <x:v>Lomas Verdes</x:v>
      </x:c>
      <x:c r="C67" s="72" t="str">
        <x:v>Yazmin García</x:v>
      </x:c>
      <x:c r="D67" s="73" t="n">
        <x:v>37925.75</x:v>
      </x:c>
      <x:c r="E67" s="72" t="str">
        <x:v>Naucalpan</x:v>
      </x:c>
      <x:c r="F67" s="72" t="str">
        <x:v>Estado De México</x:v>
      </x:c>
      <x:c r="G67" s="72" t="str">
        <x:v>Cafe</x:v>
      </x:c>
      <x:c r="H67" s="72" t="str">
        <x:v>Street</x:v>
      </x:c>
      <x:c r="I67" s="72" t="str">
        <x:v>C1</x:v>
      </x:c>
      <x:c r="J67" s="74" t="n">
        <x:v>19.50654087</x:v>
      </x:c>
      <x:c r="K67" s="74" t="n">
        <x:v>-99.25921766</x:v>
      </x:c>
      <x:c r="L67" s="75" t="str">
        <x:v>Sí</x:v>
      </x:c>
    </x:row>
    <x:row r="68">
      <x:c r="A68" s="71" t="str">
        <x:v>38270</x:v>
      </x:c>
      <x:c r="B68" s="72" t="str">
        <x:v>Lomas Verdes II</x:v>
      </x:c>
      <x:c r="C68" s="72" t="str">
        <x:v>Yazmin García</x:v>
      </x:c>
      <x:c r="D68" s="73" t="n">
        <x:v>39401.75</x:v>
      </x:c>
      <x:c r="E68" s="72" t="str">
        <x:v>Naucalpan</x:v>
      </x:c>
      <x:c r="F68" s="72" t="str">
        <x:v>Estado De México</x:v>
      </x:c>
      <x:c r="G68" s="72" t="str">
        <x:v>Cafe</x:v>
      </x:c>
      <x:c r="H68" s="72" t="str">
        <x:v>Shopping Center</x:v>
      </x:c>
      <x:c r="I68" s="72" t="str">
        <x:v>C2</x:v>
      </x:c>
      <x:c r="J68" s="74" t="n">
        <x:v>19.51505213</x:v>
      </x:c>
      <x:c r="K68" s="74" t="n">
        <x:v>-99.26625577</x:v>
      </x:c>
      <x:c r="L68" s="75" t="str">
        <x:v>Sí</x:v>
      </x:c>
    </x:row>
    <x:row r="69">
      <x:c r="A69" s="71" t="str">
        <x:v>38266</x:v>
      </x:c>
      <x:c r="B69" s="72" t="str">
        <x:v>San Mateo</x:v>
      </x:c>
      <x:c r="C69" s="72" t="str">
        <x:v>Yazmin García</x:v>
      </x:c>
      <x:c r="D69" s="73" t="n">
        <x:v>39386.75</x:v>
      </x:c>
      <x:c r="E69" s="72" t="str">
        <x:v>Naucalpan</x:v>
      </x:c>
      <x:c r="F69" s="72" t="str">
        <x:v>Estado De México</x:v>
      </x:c>
      <x:c r="G69" s="72" t="str">
        <x:v>Cafe</x:v>
      </x:c>
      <x:c r="H69" s="72" t="str">
        <x:v>Hypermarket</x:v>
      </x:c>
      <x:c r="I69" s="72" t="str">
        <x:v>C1</x:v>
      </x:c>
      <x:c r="J69" s="74" t="n">
        <x:v>19.48381649</x:v>
      </x:c>
      <x:c r="K69" s="74" t="n">
        <x:v>-99.249929</x:v>
      </x:c>
      <x:c r="L69" s="75" t="str">
        <x:v>Sí</x:v>
      </x:c>
    </x:row>
    <x:row r="70">
      <x:c r="A70" s="71" t="str">
        <x:v>38925</x:v>
      </x:c>
      <x:c r="B70" s="72" t="str">
        <x:v>Star Medica Lomas Verdes</x:v>
      </x:c>
      <x:c r="C70" s="72" t="str">
        <x:v>Yazmin García</x:v>
      </x:c>
      <x:c r="D70" s="73" t="n">
        <x:v>44834.708333333336</x:v>
      </x:c>
      <x:c r="E70" s="72" t="str">
        <x:v>Naucalpan</x:v>
      </x:c>
      <x:c r="F70" s="72" t="str">
        <x:v>Estado De México</x:v>
      </x:c>
      <x:c r="G70" s="72" t="str">
        <x:v>Kiosko</x:v>
      </x:c>
      <x:c r="H70" s="72" t="str">
        <x:v>Health Care</x:v>
      </x:c>
      <x:c r="I70" s="72" t="str">
        <x:v>C2</x:v>
      </x:c>
      <x:c r="J70" s="74" t="n">
        <x:v>19.49898526</x:v>
      </x:c>
      <x:c r="K70" s="74" t="n">
        <x:v>-99.25087154</x:v>
      </x:c>
      <x:c r="L70" s="75" t="str">
        <x:v>Sí</x:v>
      </x:c>
    </x:row>
    <x:row r="71">
      <x:c r="A71" s="71" t="str">
        <x:v>43130</x:v>
      </x:c>
      <x:c r="B71" s="72" t="str">
        <x:v>Town Center Nicolás Romero</x:v>
      </x:c>
      <x:c r="C71" s="72" t="str">
        <x:v>Yazmin García</x:v>
      </x:c>
      <x:c r="D71" s="73" t="n">
        <x:v>45649.75</x:v>
      </x:c>
      <x:c r="E71" s="72" t="str">
        <x:v>Nicolás Romero</x:v>
      </x:c>
      <x:c r="F71" s="72" t="str">
        <x:v>Estado De México</x:v>
      </x:c>
      <x:c r="G71" s="72" t="str">
        <x:v>Cafe</x:v>
      </x:c>
      <x:c r="H71" s="72" t="str">
        <x:v>Hypermarket</x:v>
      </x:c>
      <x:c r="I71" s="72" t="str">
        <x:v>C1</x:v>
      </x:c>
      <x:c r="J71" s="74" t="n">
        <x:v>19.62665084</x:v>
      </x:c>
      <x:c r="K71" s="74" t="n">
        <x:v>-99.2932417</x:v>
      </x:c>
      <x:c r="L71" s="75" t="str">
        <x:v>Sí</x:v>
      </x:c>
    </x:row>
    <x:row r="72">
      <x:c r="A72" s="71" t="str">
        <x:v>38115</x:v>
      </x:c>
      <x:c r="B72" s="72" t="str">
        <x:v>Zona Azul</x:v>
      </x:c>
      <x:c r="C72" s="72" t="str">
        <x:v>Yazmin García</x:v>
      </x:c>
      <x:c r="D72" s="73" t="n">
        <x:v>37848.708333333336</x:v>
      </x:c>
      <x:c r="E72" s="72" t="str">
        <x:v>Naucalpan</x:v>
      </x:c>
      <x:c r="F72" s="72" t="str">
        <x:v>Estado De México</x:v>
      </x:c>
      <x:c r="G72" s="72" t="str">
        <x:v>Cafe</x:v>
      </x:c>
      <x:c r="H72" s="72" t="str">
        <x:v>Neighborhood</x:v>
      </x:c>
      <x:c r="I72" s="72" t="str">
        <x:v>C1</x:v>
      </x:c>
      <x:c r="J72" s="74" t="n">
        <x:v>19.50634876</x:v>
      </x:c>
      <x:c r="K72" s="74" t="n">
        <x:v>-99.24655516</x:v>
      </x:c>
      <x:c r="L72" s="75" t="str">
        <x:v>Sí</x:v>
      </x:c>
    </x:row>
    <x:row r="73">
      <x:c r="A73" s="76" t="str">
        <x:v>38142</x:v>
      </x:c>
      <x:c r="B73" s="77" t="str">
        <x:v>Zona Esmeralda</x:v>
      </x:c>
      <x:c r="C73" s="77" t="str">
        <x:v>Yazmin García</x:v>
      </x:c>
      <x:c r="D73" s="78" t="n">
        <x:v>38338.75</x:v>
      </x:c>
      <x:c r="E73" s="77" t="str">
        <x:v>Atizapan De Zaragoza</x:v>
      </x:c>
      <x:c r="F73" s="77" t="str">
        <x:v>Estado De México</x:v>
      </x:c>
      <x:c r="G73" s="77" t="str">
        <x:v>Cafe</x:v>
      </x:c>
      <x:c r="H73" s="77" t="str">
        <x:v>Shopping Center</x:v>
      </x:c>
      <x:c r="I73" s="77" t="str">
        <x:v>C2</x:v>
      </x:c>
      <x:c r="J73" s="79" t="n">
        <x:v>19.55907624</x:v>
      </x:c>
      <x:c r="K73" s="79" t="n">
        <x:v>-99.29683123</x:v>
      </x:c>
      <x:c r="L73" s="80" t="str">
        <x:v>Sí</x:v>
      </x:c>
    </x:row>
    <x:row r="74">
      <x:c r="A74" s="81"/>
      <x:c r="B74" s="82"/>
      <x:c r="C74" s="82"/>
      <x:c r="D74" s="82"/>
      <x:c r="E74" s="82"/>
      <x:c r="F74" s="82"/>
      <x:c r="G74" s="82"/>
      <x:c r="H74" s="82"/>
      <x:c r="I74" s="82"/>
      <x:c r="J74" s="82"/>
      <x:c r="K74" s="82"/>
      <x:c r="L74" s="82"/>
    </x:row>
    <x:row r="75">
      <x:c r="A75" s="81"/>
      <x:c r="B75" s="82"/>
      <x:c r="C75" s="82"/>
      <x:c r="D75" s="82"/>
      <x:c r="E75" s="82"/>
      <x:c r="F75" s="82"/>
      <x:c r="G75" s="82"/>
      <x:c r="H75" s="82"/>
      <x:c r="I75" s="82"/>
      <x:c r="J75" s="82"/>
      <x:c r="K75" s="82"/>
      <x:c r="L75" s="82"/>
    </x:row>
    <x:row r="76">
      <x:c r="A76" s="81"/>
      <x:c r="B76" s="82"/>
      <x:c r="C76" s="82"/>
      <x:c r="D76" s="82"/>
      <x:c r="E76" s="82"/>
      <x:c r="F76" s="82"/>
      <x:c r="G76" s="82"/>
      <x:c r="H76" s="82"/>
      <x:c r="I76" s="82"/>
      <x:c r="J76" s="82"/>
      <x:c r="K76" s="82"/>
      <x:c r="L76" s="82"/>
    </x:row>
    <x:row r="77">
      <x:c r="A77" s="81"/>
      <x:c r="B77" s="82"/>
      <x:c r="C77" s="82"/>
      <x:c r="D77" s="82"/>
      <x:c r="E77" s="82"/>
      <x:c r="F77" s="82"/>
      <x:c r="G77" s="82"/>
      <x:c r="H77" s="82"/>
      <x:c r="I77" s="82"/>
      <x:c r="J77" s="82"/>
      <x:c r="K77" s="82"/>
      <x:c r="L77" s="82"/>
    </x:row>
    <x:row r="78">
      <x:c r="A78" s="81"/>
      <x:c r="B78" s="82"/>
      <x:c r="C78" s="82"/>
      <x:c r="D78" s="82"/>
      <x:c r="E78" s="82"/>
      <x:c r="F78" s="82"/>
      <x:c r="G78" s="82"/>
      <x:c r="H78" s="82"/>
      <x:c r="I78" s="82"/>
      <x:c r="J78" s="82"/>
      <x:c r="K78" s="82"/>
      <x:c r="L78" s="82"/>
    </x:row>
    <x:row r="79">
      <x:c r="A79" s="81"/>
      <x:c r="B79" s="82"/>
      <x:c r="C79" s="82"/>
      <x:c r="D79" s="82"/>
      <x:c r="E79" s="82"/>
      <x:c r="F79" s="82"/>
      <x:c r="G79" s="82"/>
      <x:c r="H79" s="82"/>
      <x:c r="I79" s="82"/>
      <x:c r="J79" s="82"/>
      <x:c r="K79" s="82"/>
      <x:c r="L79" s="82"/>
    </x:row>
    <x:row r="80">
      <x:c r="A80" s="81"/>
      <x:c r="B80" s="82"/>
      <x:c r="C80" s="82"/>
      <x:c r="D80" s="82"/>
      <x:c r="E80" s="82"/>
      <x:c r="F80" s="82"/>
      <x:c r="G80" s="82"/>
      <x:c r="H80" s="82"/>
      <x:c r="I80" s="82"/>
      <x:c r="J80" s="82"/>
      <x:c r="K80" s="82"/>
      <x:c r="L80" s="82"/>
    </x:row>
    <x:row r="81">
      <x:c r="A81" s="81"/>
      <x:c r="B81" s="82"/>
      <x:c r="C81" s="82"/>
      <x:c r="D81" s="82"/>
      <x:c r="E81" s="82"/>
      <x:c r="F81" s="82"/>
      <x:c r="G81" s="82"/>
      <x:c r="H81" s="82"/>
      <x:c r="I81" s="82"/>
      <x:c r="J81" s="82"/>
      <x:c r="K81" s="82"/>
      <x:c r="L81" s="82"/>
    </x:row>
    <x:row r="82">
      <x:c r="A82" s="81"/>
      <x:c r="B82" s="82"/>
      <x:c r="C82" s="82"/>
      <x:c r="D82" s="82"/>
      <x:c r="E82" s="82"/>
      <x:c r="F82" s="82"/>
      <x:c r="G82" s="82"/>
      <x:c r="H82" s="82"/>
      <x:c r="I82" s="82"/>
      <x:c r="J82" s="82"/>
      <x:c r="K82" s="82"/>
      <x:c r="L82" s="82"/>
    </x:row>
    <x:row r="83">
      <x:c r="A83" s="81"/>
      <x:c r="B83" s="82"/>
      <x:c r="C83" s="82"/>
      <x:c r="D83" s="82"/>
      <x:c r="E83" s="82"/>
      <x:c r="F83" s="82"/>
      <x:c r="G83" s="82"/>
      <x:c r="H83" s="82"/>
      <x:c r="I83" s="82"/>
      <x:c r="J83" s="82"/>
      <x:c r="K83" s="82"/>
      <x:c r="L83" s="82"/>
    </x:row>
    <x:row r="84">
      <x:c r="A84" s="81"/>
      <x:c r="B84" s="82"/>
      <x:c r="C84" s="82"/>
      <x:c r="D84" s="82"/>
      <x:c r="E84" s="82"/>
      <x:c r="F84" s="82"/>
      <x:c r="G84" s="82"/>
      <x:c r="H84" s="82"/>
      <x:c r="I84" s="82"/>
      <x:c r="J84" s="82"/>
      <x:c r="K84" s="82"/>
      <x:c r="L84" s="82"/>
    </x:row>
    <x:row r="85">
      <x:c r="A85" s="81"/>
      <x:c r="B85" s="82"/>
      <x:c r="C85" s="82"/>
      <x:c r="D85" s="82"/>
      <x:c r="E85" s="82"/>
      <x:c r="F85" s="82"/>
      <x:c r="G85" s="82"/>
      <x:c r="H85" s="82"/>
      <x:c r="I85" s="82"/>
      <x:c r="J85" s="82"/>
      <x:c r="K85" s="82"/>
      <x:c r="L85" s="82"/>
    </x:row>
    <x:row r="86">
      <x:c r="A86" s="81"/>
      <x:c r="B86" s="82"/>
      <x:c r="C86" s="82"/>
      <x:c r="D86" s="82"/>
      <x:c r="E86" s="82"/>
      <x:c r="F86" s="82"/>
      <x:c r="G86" s="82"/>
      <x:c r="H86" s="82"/>
      <x:c r="I86" s="82"/>
      <x:c r="J86" s="82"/>
      <x:c r="K86" s="82"/>
      <x:c r="L86" s="82"/>
    </x:row>
    <x:row r="87">
      <x:c r="A87" s="81"/>
      <x:c r="B87" s="82"/>
      <x:c r="C87" s="82"/>
      <x:c r="D87" s="82"/>
      <x:c r="E87" s="82"/>
      <x:c r="F87" s="82"/>
      <x:c r="G87" s="82"/>
      <x:c r="H87" s="82"/>
      <x:c r="I87" s="82"/>
      <x:c r="J87" s="82"/>
      <x:c r="K87" s="82"/>
      <x:c r="L87" s="82"/>
    </x:row>
    <x:row r="88">
      <x:c r="A88" s="81"/>
      <x:c r="B88" s="82"/>
      <x:c r="C88" s="82"/>
      <x:c r="D88" s="82"/>
      <x:c r="E88" s="82"/>
      <x:c r="F88" s="82"/>
      <x:c r="G88" s="82"/>
      <x:c r="H88" s="82"/>
      <x:c r="I88" s="82"/>
      <x:c r="J88" s="82"/>
      <x:c r="K88" s="82"/>
      <x:c r="L88" s="82"/>
    </x:row>
    <x:row r="89">
      <x:c r="A89" s="81"/>
      <x:c r="B89" s="82"/>
      <x:c r="C89" s="82"/>
      <x:c r="D89" s="82"/>
      <x:c r="E89" s="82"/>
      <x:c r="F89" s="82"/>
      <x:c r="G89" s="82"/>
      <x:c r="H89" s="82"/>
      <x:c r="I89" s="82"/>
      <x:c r="J89" s="82"/>
      <x:c r="K89" s="82"/>
      <x:c r="L89" s="82"/>
    </x:row>
    <x:row r="90">
      <x:c r="A90" s="81"/>
      <x:c r="B90" s="82"/>
      <x:c r="C90" s="82"/>
      <x:c r="D90" s="82"/>
      <x:c r="E90" s="82"/>
      <x:c r="F90" s="82"/>
      <x:c r="G90" s="82"/>
      <x:c r="H90" s="82"/>
      <x:c r="I90" s="82"/>
      <x:c r="J90" s="82"/>
      <x:c r="K90" s="82"/>
      <x:c r="L90" s="82"/>
    </x:row>
    <x:row r="91">
      <x:c r="A91" s="81"/>
      <x:c r="B91" s="82"/>
      <x:c r="C91" s="82"/>
      <x:c r="D91" s="82"/>
      <x:c r="E91" s="82"/>
      <x:c r="F91" s="82"/>
      <x:c r="G91" s="82"/>
      <x:c r="H91" s="82"/>
      <x:c r="I91" s="82"/>
      <x:c r="J91" s="82"/>
      <x:c r="K91" s="82"/>
      <x:c r="L91" s="82"/>
    </x:row>
    <x:row r="92">
      <x:c r="A92" s="81"/>
      <x:c r="B92" s="82"/>
      <x:c r="C92" s="82"/>
      <x:c r="D92" s="82"/>
      <x:c r="E92" s="82"/>
      <x:c r="F92" s="82"/>
      <x:c r="G92" s="82"/>
      <x:c r="H92" s="82"/>
      <x:c r="I92" s="82"/>
      <x:c r="J92" s="82"/>
      <x:c r="K92" s="82"/>
      <x:c r="L92" s="82"/>
    </x:row>
    <x:row r="93">
      <x:c r="A93" s="81"/>
      <x:c r="B93" s="82"/>
      <x:c r="C93" s="82"/>
      <x:c r="D93" s="82"/>
      <x:c r="E93" s="82"/>
      <x:c r="F93" s="82"/>
      <x:c r="G93" s="82"/>
      <x:c r="H93" s="82"/>
      <x:c r="I93" s="82"/>
      <x:c r="J93" s="82"/>
      <x:c r="K93" s="82"/>
      <x:c r="L93" s="82"/>
    </x:row>
    <x:row r="94">
      <x:c r="A94" s="81"/>
      <x:c r="B94" s="82"/>
      <x:c r="C94" s="82"/>
      <x:c r="D94" s="82"/>
      <x:c r="E94" s="82"/>
      <x:c r="F94" s="82"/>
      <x:c r="G94" s="82"/>
      <x:c r="H94" s="82"/>
      <x:c r="I94" s="82"/>
      <x:c r="J94" s="82"/>
      <x:c r="K94" s="82"/>
      <x:c r="L94" s="82"/>
    </x:row>
    <x:row r="95">
      <x:c r="A95" s="81"/>
      <x:c r="B95" s="82"/>
      <x:c r="C95" s="82"/>
      <x:c r="D95" s="82"/>
      <x:c r="E95" s="82"/>
      <x:c r="F95" s="82"/>
      <x:c r="G95" s="82"/>
      <x:c r="H95" s="82"/>
      <x:c r="I95" s="82"/>
      <x:c r="J95" s="82"/>
      <x:c r="K95" s="82"/>
      <x:c r="L95" s="82"/>
    </x:row>
    <x:row r="96">
      <x:c r="A96" s="81"/>
      <x:c r="B96" s="82"/>
      <x:c r="C96" s="82"/>
      <x:c r="D96" s="82"/>
      <x:c r="E96" s="82"/>
      <x:c r="F96" s="82"/>
      <x:c r="G96" s="82"/>
      <x:c r="H96" s="82"/>
      <x:c r="I96" s="82"/>
      <x:c r="J96" s="82"/>
      <x:c r="K96" s="82"/>
      <x:c r="L96" s="82"/>
    </x:row>
    <x:row r="97">
      <x:c r="A97" s="81"/>
      <x:c r="B97" s="82"/>
      <x:c r="C97" s="82"/>
      <x:c r="D97" s="82"/>
      <x:c r="E97" s="82"/>
      <x:c r="F97" s="82"/>
      <x:c r="G97" s="82"/>
      <x:c r="H97" s="82"/>
      <x:c r="I97" s="82"/>
      <x:c r="J97" s="82"/>
      <x:c r="K97" s="82"/>
      <x:c r="L97" s="82"/>
    </x:row>
    <x:row r="98">
      <x:c r="A98" s="81"/>
      <x:c r="B98" s="82"/>
      <x:c r="C98" s="82"/>
      <x:c r="D98" s="82"/>
      <x:c r="E98" s="82"/>
      <x:c r="F98" s="82"/>
      <x:c r="G98" s="82"/>
      <x:c r="H98" s="82"/>
      <x:c r="I98" s="82"/>
      <x:c r="J98" s="82"/>
      <x:c r="K98" s="82"/>
      <x:c r="L98" s="82"/>
    </x:row>
    <x:row r="99">
      <x:c r="A99" s="81"/>
      <x:c r="B99" s="82"/>
      <x:c r="C99" s="82"/>
      <x:c r="D99" s="82"/>
      <x:c r="E99" s="82"/>
      <x:c r="F99" s="82"/>
      <x:c r="G99" s="82"/>
      <x:c r="H99" s="82"/>
      <x:c r="I99" s="82"/>
      <x:c r="J99" s="82"/>
      <x:c r="K99" s="82"/>
      <x:c r="L99" s="82"/>
    </x:row>
    <x:row r="100">
      <x:c r="A100" s="81"/>
      <x:c r="B100" s="82"/>
      <x:c r="C100" s="82"/>
      <x:c r="D100" s="82"/>
      <x:c r="E100" s="82"/>
      <x:c r="F100" s="82"/>
      <x:c r="G100" s="82"/>
      <x:c r="H100" s="82"/>
      <x:c r="I100" s="82"/>
      <x:c r="J100" s="82"/>
      <x:c r="K100" s="82"/>
      <x:c r="L100" s="82"/>
    </x:row>
    <x:row r="101">
      <x:c r="A101" s="81"/>
      <x:c r="B101" s="82"/>
      <x:c r="C101" s="82"/>
      <x:c r="D101" s="82"/>
      <x:c r="E101" s="82"/>
      <x:c r="F101" s="82"/>
      <x:c r="G101" s="82"/>
      <x:c r="H101" s="82"/>
      <x:c r="I101" s="82"/>
      <x:c r="J101" s="82"/>
      <x:c r="K101" s="82"/>
      <x:c r="L101" s="82"/>
    </x:row>
    <x:row r="102">
      <x:c r="A102" s="81"/>
      <x:c r="B102" s="82"/>
      <x:c r="C102" s="82"/>
      <x:c r="D102" s="82"/>
      <x:c r="E102" s="82"/>
      <x:c r="F102" s="82"/>
      <x:c r="G102" s="82"/>
      <x:c r="H102" s="82"/>
      <x:c r="I102" s="82"/>
      <x:c r="J102" s="82"/>
      <x:c r="K102" s="82"/>
      <x:c r="L102" s="82"/>
    </x:row>
    <x:row r="103">
      <x:c r="A103" s="81"/>
      <x:c r="B103" s="82"/>
      <x:c r="C103" s="82"/>
      <x:c r="D103" s="82"/>
      <x:c r="E103" s="82"/>
      <x:c r="F103" s="82"/>
      <x:c r="G103" s="82"/>
      <x:c r="H103" s="82"/>
      <x:c r="I103" s="82"/>
      <x:c r="J103" s="82"/>
      <x:c r="K103" s="82"/>
      <x:c r="L103" s="82"/>
    </x:row>
    <x:row r="104">
      <x:c r="A104" s="81"/>
      <x:c r="B104" s="82"/>
      <x:c r="C104" s="82"/>
      <x:c r="D104" s="82"/>
      <x:c r="E104" s="82"/>
      <x:c r="F104" s="82"/>
      <x:c r="G104" s="82"/>
      <x:c r="H104" s="82"/>
      <x:c r="I104" s="82"/>
      <x:c r="J104" s="82"/>
      <x:c r="K104" s="82"/>
      <x:c r="L104" s="82"/>
    </x:row>
    <x:row r="105">
      <x:c r="A105" s="81"/>
      <x:c r="B105" s="82"/>
      <x:c r="C105" s="82"/>
      <x:c r="D105" s="82"/>
      <x:c r="E105" s="82"/>
      <x:c r="F105" s="82"/>
      <x:c r="G105" s="82"/>
      <x:c r="H105" s="82"/>
      <x:c r="I105" s="82"/>
      <x:c r="J105" s="82"/>
      <x:c r="K105" s="82"/>
      <x:c r="L105" s="82"/>
    </x:row>
    <x:row r="106">
      <x:c r="A106" s="81"/>
      <x:c r="B106" s="82"/>
      <x:c r="C106" s="82"/>
      <x:c r="D106" s="82"/>
      <x:c r="E106" s="82"/>
      <x:c r="F106" s="82"/>
      <x:c r="G106" s="82"/>
      <x:c r="H106" s="82"/>
      <x:c r="I106" s="82"/>
      <x:c r="J106" s="82"/>
      <x:c r="K106" s="82"/>
      <x:c r="L106" s="82"/>
    </x:row>
    <x:row r="107">
      <x:c r="A107" s="81"/>
      <x:c r="B107" s="82"/>
      <x:c r="C107" s="82"/>
      <x:c r="D107" s="82"/>
      <x:c r="E107" s="82"/>
      <x:c r="F107" s="82"/>
      <x:c r="G107" s="82"/>
      <x:c r="H107" s="82"/>
      <x:c r="I107" s="82"/>
      <x:c r="J107" s="82"/>
      <x:c r="K107" s="82"/>
      <x:c r="L107" s="82"/>
    </x:row>
    <x:row r="108">
      <x:c r="A108" s="81"/>
      <x:c r="B108" s="82"/>
      <x:c r="C108" s="82"/>
      <x:c r="D108" s="82"/>
      <x:c r="E108" s="82"/>
      <x:c r="F108" s="82"/>
      <x:c r="G108" s="82"/>
      <x:c r="H108" s="82"/>
      <x:c r="I108" s="82"/>
      <x:c r="J108" s="82"/>
      <x:c r="K108" s="82"/>
      <x:c r="L108" s="82"/>
    </x:row>
    <x:row r="109">
      <x:c r="A109" s="81"/>
      <x:c r="B109" s="82"/>
      <x:c r="C109" s="82"/>
      <x:c r="D109" s="82"/>
      <x:c r="E109" s="82"/>
      <x:c r="F109" s="82"/>
      <x:c r="G109" s="82"/>
      <x:c r="H109" s="82"/>
      <x:c r="I109" s="82"/>
      <x:c r="J109" s="82"/>
      <x:c r="K109" s="82"/>
      <x:c r="L109" s="82"/>
    </x:row>
    <x:row r="110">
      <x:c r="A110" s="81"/>
      <x:c r="B110" s="82"/>
      <x:c r="C110" s="82"/>
      <x:c r="D110" s="82"/>
      <x:c r="E110" s="82"/>
      <x:c r="F110" s="82"/>
      <x:c r="G110" s="82"/>
      <x:c r="H110" s="82"/>
      <x:c r="I110" s="82"/>
      <x:c r="J110" s="82"/>
      <x:c r="K110" s="82"/>
      <x:c r="L110" s="82"/>
    </x:row>
    <x:row r="111">
      <x:c r="A111" s="81"/>
      <x:c r="B111" s="82"/>
      <x:c r="C111" s="82"/>
      <x:c r="D111" s="82"/>
      <x:c r="E111" s="82"/>
      <x:c r="F111" s="82"/>
      <x:c r="G111" s="82"/>
      <x:c r="H111" s="82"/>
      <x:c r="I111" s="82"/>
      <x:c r="J111" s="82"/>
      <x:c r="K111" s="82"/>
      <x:c r="L111" s="82"/>
    </x:row>
    <x:row r="112">
      <x:c r="A112" s="81"/>
      <x:c r="B112" s="82"/>
      <x:c r="C112" s="82"/>
      <x:c r="D112" s="82"/>
      <x:c r="E112" s="82"/>
      <x:c r="F112" s="82"/>
      <x:c r="G112" s="82"/>
      <x:c r="H112" s="82"/>
      <x:c r="I112" s="82"/>
      <x:c r="J112" s="82"/>
      <x:c r="K112" s="82"/>
      <x:c r="L112" s="82"/>
    </x:row>
    <x:row r="113">
      <x:c r="A113" s="81"/>
      <x:c r="B113" s="82"/>
      <x:c r="C113" s="82"/>
      <x:c r="D113" s="82"/>
      <x:c r="E113" s="82"/>
      <x:c r="F113" s="82"/>
      <x:c r="G113" s="82"/>
      <x:c r="H113" s="82"/>
      <x:c r="I113" s="82"/>
      <x:c r="J113" s="82"/>
      <x:c r="K113" s="82"/>
      <x:c r="L113" s="82"/>
    </x:row>
    <x:row r="114">
      <x:c r="A114" s="81"/>
      <x:c r="B114" s="82"/>
      <x:c r="C114" s="82"/>
      <x:c r="D114" s="82"/>
      <x:c r="E114" s="82"/>
      <x:c r="F114" s="82"/>
      <x:c r="G114" s="82"/>
      <x:c r="H114" s="82"/>
      <x:c r="I114" s="82"/>
      <x:c r="J114" s="82"/>
      <x:c r="K114" s="82"/>
      <x:c r="L114" s="82"/>
    </x:row>
    <x:row r="115">
      <x:c r="A115" s="81"/>
      <x:c r="B115" s="82"/>
      <x:c r="C115" s="82"/>
      <x:c r="D115" s="82"/>
      <x:c r="E115" s="82"/>
      <x:c r="F115" s="82"/>
      <x:c r="G115" s="82"/>
      <x:c r="H115" s="82"/>
      <x:c r="I115" s="82"/>
      <x:c r="J115" s="82"/>
      <x:c r="K115" s="82"/>
      <x:c r="L115" s="82"/>
    </x:row>
    <x:row r="116">
      <x:c r="A116" s="81"/>
      <x:c r="B116" s="82"/>
      <x:c r="C116" s="82"/>
      <x:c r="D116" s="82"/>
      <x:c r="E116" s="82"/>
      <x:c r="F116" s="82"/>
      <x:c r="G116" s="82"/>
      <x:c r="H116" s="82"/>
      <x:c r="I116" s="82"/>
      <x:c r="J116" s="82"/>
      <x:c r="K116" s="82"/>
      <x:c r="L116" s="82"/>
    </x:row>
    <x:row r="117">
      <x:c r="A117" s="81"/>
      <x:c r="B117" s="82"/>
      <x:c r="C117" s="82"/>
      <x:c r="D117" s="82"/>
      <x:c r="E117" s="82"/>
      <x:c r="F117" s="82"/>
      <x:c r="G117" s="82"/>
      <x:c r="H117" s="82"/>
      <x:c r="I117" s="82"/>
      <x:c r="J117" s="82"/>
      <x:c r="K117" s="82"/>
      <x:c r="L117" s="82"/>
    </x:row>
    <x:row r="118">
      <x:c r="A118" s="81"/>
      <x:c r="B118" s="82"/>
      <x:c r="C118" s="82"/>
      <x:c r="D118" s="82"/>
      <x:c r="E118" s="82"/>
      <x:c r="F118" s="82"/>
      <x:c r="G118" s="82"/>
      <x:c r="H118" s="82"/>
      <x:c r="I118" s="82"/>
      <x:c r="J118" s="82"/>
      <x:c r="K118" s="82"/>
      <x:c r="L118" s="82"/>
    </x:row>
    <x:row r="119">
      <x:c r="A119" s="81"/>
      <x:c r="B119" s="82"/>
      <x:c r="C119" s="82"/>
      <x:c r="D119" s="82"/>
      <x:c r="E119" s="82"/>
      <x:c r="F119" s="82"/>
      <x:c r="G119" s="82"/>
      <x:c r="H119" s="82"/>
      <x:c r="I119" s="82"/>
      <x:c r="J119" s="82"/>
      <x:c r="K119" s="82"/>
      <x:c r="L119" s="82"/>
    </x:row>
    <x:row r="120">
      <x:c r="A120" s="81"/>
      <x:c r="B120" s="82"/>
      <x:c r="C120" s="82"/>
      <x:c r="D120" s="82"/>
      <x:c r="E120" s="82"/>
      <x:c r="F120" s="82"/>
      <x:c r="G120" s="82"/>
      <x:c r="H120" s="82"/>
      <x:c r="I120" s="82"/>
      <x:c r="J120" s="82"/>
      <x:c r="K120" s="82"/>
      <x:c r="L120" s="82"/>
    </x:row>
    <x:row r="121">
      <x:c r="A121" s="81"/>
      <x:c r="B121" s="82"/>
      <x:c r="C121" s="82"/>
      <x:c r="D121" s="82"/>
      <x:c r="E121" s="82"/>
      <x:c r="F121" s="82"/>
      <x:c r="G121" s="82"/>
      <x:c r="H121" s="82"/>
      <x:c r="I121" s="82"/>
      <x:c r="J121" s="82"/>
      <x:c r="K121" s="82"/>
      <x:c r="L121" s="82"/>
    </x:row>
    <x:row r="122">
      <x:c r="A122" s="81"/>
      <x:c r="B122" s="82"/>
      <x:c r="C122" s="82"/>
      <x:c r="D122" s="82"/>
      <x:c r="E122" s="82"/>
      <x:c r="F122" s="82"/>
      <x:c r="G122" s="82"/>
      <x:c r="H122" s="82"/>
      <x:c r="I122" s="82"/>
      <x:c r="J122" s="82"/>
      <x:c r="K122" s="82"/>
      <x:c r="L122" s="82"/>
    </x:row>
    <x:row r="123">
      <x:c r="A123" s="81"/>
      <x:c r="B123" s="82"/>
      <x:c r="C123" s="82"/>
      <x:c r="D123" s="82"/>
      <x:c r="E123" s="82"/>
      <x:c r="F123" s="82"/>
      <x:c r="G123" s="82"/>
      <x:c r="H123" s="82"/>
      <x:c r="I123" s="82"/>
      <x:c r="J123" s="82"/>
      <x:c r="K123" s="82"/>
      <x:c r="L123" s="82"/>
    </x:row>
    <x:row r="124">
      <x:c r="A124" s="81"/>
      <x:c r="B124" s="82"/>
      <x:c r="C124" s="82"/>
      <x:c r="D124" s="82"/>
      <x:c r="E124" s="82"/>
      <x:c r="F124" s="82"/>
      <x:c r="G124" s="82"/>
      <x:c r="H124" s="82"/>
      <x:c r="I124" s="82"/>
      <x:c r="J124" s="82"/>
      <x:c r="K124" s="82"/>
      <x:c r="L124" s="82"/>
    </x:row>
    <x:row r="125">
      <x:c r="A125" s="81"/>
      <x:c r="B125" s="82"/>
      <x:c r="C125" s="82"/>
      <x:c r="D125" s="82"/>
      <x:c r="E125" s="82"/>
      <x:c r="F125" s="82"/>
      <x:c r="G125" s="82"/>
      <x:c r="H125" s="82"/>
      <x:c r="I125" s="82"/>
      <x:c r="J125" s="82"/>
      <x:c r="K125" s="82"/>
      <x:c r="L125" s="82"/>
    </x:row>
    <x:row r="126">
      <x:c r="A126" s="81"/>
      <x:c r="B126" s="82"/>
      <x:c r="C126" s="82"/>
      <x:c r="D126" s="82"/>
      <x:c r="E126" s="82"/>
      <x:c r="F126" s="82"/>
      <x:c r="G126" s="82"/>
      <x:c r="H126" s="82"/>
      <x:c r="I126" s="82"/>
      <x:c r="J126" s="82"/>
      <x:c r="K126" s="82"/>
      <x:c r="L126" s="82"/>
    </x:row>
    <x:row r="127">
      <x:c r="A127" s="81"/>
      <x:c r="B127" s="82"/>
      <x:c r="C127" s="82"/>
      <x:c r="D127" s="82"/>
      <x:c r="E127" s="82"/>
      <x:c r="F127" s="82"/>
      <x:c r="G127" s="82"/>
      <x:c r="H127" s="82"/>
      <x:c r="I127" s="82"/>
      <x:c r="J127" s="82"/>
      <x:c r="K127" s="82"/>
      <x:c r="L127" s="82"/>
    </x:row>
    <x:row r="128">
      <x:c r="A128" s="81"/>
      <x:c r="B128" s="82"/>
      <x:c r="C128" s="82"/>
      <x:c r="D128" s="82"/>
      <x:c r="E128" s="82"/>
      <x:c r="F128" s="82"/>
      <x:c r="G128" s="82"/>
      <x:c r="H128" s="82"/>
      <x:c r="I128" s="82"/>
      <x:c r="J128" s="82"/>
      <x:c r="K128" s="82"/>
      <x:c r="L128" s="82"/>
    </x:row>
    <x:row r="129">
      <x:c r="A129" s="81"/>
      <x:c r="B129" s="82"/>
      <x:c r="C129" s="82"/>
      <x:c r="D129" s="82"/>
      <x:c r="E129" s="82"/>
      <x:c r="F129" s="82"/>
      <x:c r="G129" s="82"/>
      <x:c r="H129" s="82"/>
      <x:c r="I129" s="82"/>
      <x:c r="J129" s="82"/>
      <x:c r="K129" s="82"/>
      <x:c r="L129" s="82"/>
    </x:row>
    <x:row r="130">
      <x:c r="A130" s="81"/>
      <x:c r="B130" s="82"/>
      <x:c r="C130" s="82"/>
      <x:c r="D130" s="82"/>
      <x:c r="E130" s="82"/>
      <x:c r="F130" s="82"/>
      <x:c r="G130" s="82"/>
      <x:c r="H130" s="82"/>
      <x:c r="I130" s="82"/>
      <x:c r="J130" s="82"/>
      <x:c r="K130" s="82"/>
      <x:c r="L130" s="82"/>
    </x:row>
    <x:row r="131">
      <x:c r="A131" s="81"/>
      <x:c r="B131" s="82"/>
      <x:c r="C131" s="82"/>
      <x:c r="D131" s="82"/>
      <x:c r="E131" s="82"/>
      <x:c r="F131" s="82"/>
      <x:c r="G131" s="82"/>
      <x:c r="H131" s="82"/>
      <x:c r="I131" s="82"/>
      <x:c r="J131" s="82"/>
      <x:c r="K131" s="82"/>
      <x:c r="L131" s="82"/>
    </x:row>
    <x:row r="132">
      <x:c r="A132" s="81"/>
      <x:c r="B132" s="82"/>
      <x:c r="C132" s="82"/>
      <x:c r="D132" s="82"/>
      <x:c r="E132" s="82"/>
      <x:c r="F132" s="82"/>
      <x:c r="G132" s="82"/>
      <x:c r="H132" s="82"/>
      <x:c r="I132" s="82"/>
      <x:c r="J132" s="82"/>
      <x:c r="K132" s="82"/>
      <x:c r="L132" s="82"/>
    </x:row>
    <x:row r="133">
      <x:c r="A133" s="81"/>
      <x:c r="B133" s="82"/>
      <x:c r="C133" s="82"/>
      <x:c r="D133" s="82"/>
      <x:c r="E133" s="82"/>
      <x:c r="F133" s="82"/>
      <x:c r="G133" s="82"/>
      <x:c r="H133" s="82"/>
      <x:c r="I133" s="82"/>
      <x:c r="J133" s="82"/>
      <x:c r="K133" s="82"/>
      <x:c r="L133" s="82"/>
    </x:row>
    <x:row r="134">
      <x:c r="A134" s="81"/>
      <x:c r="B134" s="82"/>
      <x:c r="C134" s="82"/>
      <x:c r="D134" s="82"/>
      <x:c r="E134" s="82"/>
      <x:c r="F134" s="82"/>
      <x:c r="G134" s="82"/>
      <x:c r="H134" s="82"/>
      <x:c r="I134" s="82"/>
      <x:c r="J134" s="82"/>
      <x:c r="K134" s="82"/>
      <x:c r="L134" s="82"/>
    </x:row>
    <x:row r="135">
      <x:c r="A135" s="81"/>
      <x:c r="B135" s="82"/>
      <x:c r="C135" s="82"/>
      <x:c r="D135" s="82"/>
      <x:c r="E135" s="82"/>
      <x:c r="F135" s="82"/>
      <x:c r="G135" s="82"/>
      <x:c r="H135" s="82"/>
      <x:c r="I135" s="82"/>
      <x:c r="J135" s="82"/>
      <x:c r="K135" s="82"/>
      <x:c r="L135" s="82"/>
    </x:row>
    <x:row r="136">
      <x:c r="A136" s="81"/>
      <x:c r="B136" s="82"/>
      <x:c r="C136" s="82"/>
      <x:c r="D136" s="82"/>
      <x:c r="E136" s="82"/>
      <x:c r="F136" s="82"/>
      <x:c r="G136" s="82"/>
      <x:c r="H136" s="82"/>
      <x:c r="I136" s="82"/>
      <x:c r="J136" s="82"/>
      <x:c r="K136" s="82"/>
      <x:c r="L136" s="82"/>
    </x:row>
    <x:row r="137">
      <x:c r="A137" s="81"/>
      <x:c r="B137" s="82"/>
      <x:c r="C137" s="82"/>
      <x:c r="D137" s="82"/>
      <x:c r="E137" s="82"/>
      <x:c r="F137" s="82"/>
      <x:c r="G137" s="82"/>
      <x:c r="H137" s="82"/>
      <x:c r="I137" s="82"/>
      <x:c r="J137" s="82"/>
      <x:c r="K137" s="82"/>
      <x:c r="L137" s="82"/>
    </x:row>
    <x:row r="138">
      <x:c r="A138" s="81"/>
      <x:c r="B138" s="82"/>
      <x:c r="C138" s="82"/>
      <x:c r="D138" s="82"/>
      <x:c r="E138" s="82"/>
      <x:c r="F138" s="82"/>
      <x:c r="G138" s="82"/>
      <x:c r="H138" s="82"/>
      <x:c r="I138" s="82"/>
      <x:c r="J138" s="82"/>
      <x:c r="K138" s="82"/>
      <x:c r="L138" s="82"/>
    </x:row>
    <x:row r="139">
      <x:c r="A139" s="81"/>
      <x:c r="B139" s="82"/>
      <x:c r="C139" s="82"/>
      <x:c r="D139" s="82"/>
      <x:c r="E139" s="82"/>
      <x:c r="F139" s="82"/>
      <x:c r="G139" s="82"/>
      <x:c r="H139" s="82"/>
      <x:c r="I139" s="82"/>
      <x:c r="J139" s="82"/>
      <x:c r="K139" s="82"/>
      <x:c r="L139" s="82"/>
    </x:row>
    <x:row r="140">
      <x:c r="A140" s="81"/>
      <x:c r="B140" s="82"/>
      <x:c r="C140" s="82"/>
      <x:c r="D140" s="82"/>
      <x:c r="E140" s="82"/>
      <x:c r="F140" s="82"/>
      <x:c r="G140" s="82"/>
      <x:c r="H140" s="82"/>
      <x:c r="I140" s="82"/>
      <x:c r="J140" s="82"/>
      <x:c r="K140" s="82"/>
      <x:c r="L140" s="82"/>
    </x:row>
    <x:row r="141">
      <x:c r="A141" s="81"/>
      <x:c r="B141" s="82"/>
      <x:c r="C141" s="82"/>
      <x:c r="D141" s="82"/>
      <x:c r="E141" s="82"/>
      <x:c r="F141" s="82"/>
      <x:c r="G141" s="82"/>
      <x:c r="H141" s="82"/>
      <x:c r="I141" s="82"/>
      <x:c r="J141" s="82"/>
      <x:c r="K141" s="82"/>
      <x:c r="L141" s="82"/>
    </x:row>
    <x:row r="142">
      <x:c r="A142" s="81"/>
      <x:c r="B142" s="82"/>
      <x:c r="C142" s="82"/>
      <x:c r="D142" s="82"/>
      <x:c r="E142" s="82"/>
      <x:c r="F142" s="82"/>
      <x:c r="G142" s="82"/>
      <x:c r="H142" s="82"/>
      <x:c r="I142" s="82"/>
      <x:c r="J142" s="82"/>
      <x:c r="K142" s="82"/>
      <x:c r="L142" s="82"/>
    </x:row>
    <x:row r="143">
      <x:c r="A143" s="81"/>
      <x:c r="B143" s="82"/>
      <x:c r="C143" s="82"/>
      <x:c r="D143" s="82"/>
      <x:c r="E143" s="82"/>
      <x:c r="F143" s="82"/>
      <x:c r="G143" s="82"/>
      <x:c r="H143" s="82"/>
      <x:c r="I143" s="82"/>
      <x:c r="J143" s="82"/>
      <x:c r="K143" s="82"/>
      <x:c r="L143" s="82"/>
    </x:row>
    <x:row r="144">
      <x:c r="A144" s="81"/>
      <x:c r="B144" s="82"/>
      <x:c r="C144" s="82"/>
      <x:c r="D144" s="82"/>
      <x:c r="E144" s="82"/>
      <x:c r="F144" s="82"/>
      <x:c r="G144" s="82"/>
      <x:c r="H144" s="82"/>
      <x:c r="I144" s="82"/>
      <x:c r="J144" s="82"/>
      <x:c r="K144" s="82"/>
      <x:c r="L144" s="82"/>
    </x:row>
    <x:row r="145">
      <x:c r="A145" s="81"/>
      <x:c r="B145" s="82"/>
      <x:c r="C145" s="82"/>
      <x:c r="D145" s="82"/>
      <x:c r="E145" s="82"/>
      <x:c r="F145" s="82"/>
      <x:c r="G145" s="82"/>
      <x:c r="H145" s="82"/>
      <x:c r="I145" s="82"/>
      <x:c r="J145" s="82"/>
      <x:c r="K145" s="82"/>
      <x:c r="L145" s="82"/>
    </x:row>
    <x:row r="146">
      <x:c r="A146" s="81"/>
      <x:c r="B146" s="82"/>
      <x:c r="C146" s="82"/>
      <x:c r="D146" s="82"/>
      <x:c r="E146" s="82"/>
      <x:c r="F146" s="82"/>
      <x:c r="G146" s="82"/>
      <x:c r="H146" s="82"/>
      <x:c r="I146" s="82"/>
      <x:c r="J146" s="82"/>
      <x:c r="K146" s="82"/>
      <x:c r="L146" s="82"/>
    </x:row>
    <x:row r="147">
      <x:c r="A147" s="81"/>
      <x:c r="B147" s="82"/>
      <x:c r="C147" s="82"/>
      <x:c r="D147" s="82"/>
      <x:c r="E147" s="82"/>
      <x:c r="F147" s="82"/>
      <x:c r="G147" s="82"/>
      <x:c r="H147" s="82"/>
      <x:c r="I147" s="82"/>
      <x:c r="J147" s="82"/>
      <x:c r="K147" s="82"/>
      <x:c r="L147" s="82"/>
    </x:row>
    <x:row r="148">
      <x:c r="A148" s="81"/>
      <x:c r="B148" s="82"/>
      <x:c r="C148" s="82"/>
      <x:c r="D148" s="82"/>
      <x:c r="E148" s="82"/>
      <x:c r="F148" s="82"/>
      <x:c r="G148" s="82"/>
      <x:c r="H148" s="82"/>
      <x:c r="I148" s="82"/>
      <x:c r="J148" s="82"/>
      <x:c r="K148" s="82"/>
      <x:c r="L148" s="82"/>
    </x:row>
    <x:row r="149">
      <x:c r="A149" s="81"/>
      <x:c r="B149" s="82"/>
      <x:c r="C149" s="82"/>
      <x:c r="D149" s="82"/>
      <x:c r="E149" s="82"/>
      <x:c r="F149" s="82"/>
      <x:c r="G149" s="82"/>
      <x:c r="H149" s="82"/>
      <x:c r="I149" s="82"/>
      <x:c r="J149" s="82"/>
      <x:c r="K149" s="82"/>
      <x:c r="L149" s="82"/>
    </x:row>
    <x:row r="150">
      <x:c r="A150" s="81"/>
      <x:c r="B150" s="82"/>
      <x:c r="C150" s="82"/>
      <x:c r="D150" s="82"/>
      <x:c r="E150" s="82"/>
      <x:c r="F150" s="82"/>
      <x:c r="G150" s="82"/>
      <x:c r="H150" s="82"/>
      <x:c r="I150" s="82"/>
      <x:c r="J150" s="82"/>
      <x:c r="K150" s="82"/>
      <x:c r="L150" s="82"/>
    </x:row>
    <x:row r="151">
      <x:c r="A151" s="81"/>
      <x:c r="B151" s="82"/>
      <x:c r="C151" s="82"/>
      <x:c r="D151" s="82"/>
      <x:c r="E151" s="82"/>
      <x:c r="F151" s="82"/>
      <x:c r="G151" s="82"/>
      <x:c r="H151" s="82"/>
      <x:c r="I151" s="82"/>
      <x:c r="J151" s="82"/>
      <x:c r="K151" s="82"/>
      <x:c r="L151" s="82"/>
    </x:row>
    <x:row r="152">
      <x:c r="A152" s="81"/>
      <x:c r="B152" s="82"/>
      <x:c r="C152" s="82"/>
      <x:c r="D152" s="82"/>
      <x:c r="E152" s="82"/>
      <x:c r="F152" s="82"/>
      <x:c r="G152" s="82"/>
      <x:c r="H152" s="82"/>
      <x:c r="I152" s="82"/>
      <x:c r="J152" s="82"/>
      <x:c r="K152" s="82"/>
      <x:c r="L152" s="82"/>
    </x:row>
    <x:row r="153">
      <x:c r="A153" s="81"/>
      <x:c r="B153" s="82"/>
      <x:c r="C153" s="82"/>
      <x:c r="D153" s="82"/>
      <x:c r="E153" s="82"/>
      <x:c r="F153" s="82"/>
      <x:c r="G153" s="82"/>
      <x:c r="H153" s="82"/>
      <x:c r="I153" s="82"/>
      <x:c r="J153" s="82"/>
      <x:c r="K153" s="82"/>
      <x:c r="L153" s="82"/>
    </x:row>
    <x:row r="154">
      <x:c r="A154" s="81"/>
      <x:c r="B154" s="82"/>
      <x:c r="C154" s="82"/>
      <x:c r="D154" s="82"/>
      <x:c r="E154" s="82"/>
      <x:c r="F154" s="82"/>
      <x:c r="G154" s="82"/>
      <x:c r="H154" s="82"/>
      <x:c r="I154" s="82"/>
      <x:c r="J154" s="82"/>
      <x:c r="K154" s="82"/>
      <x:c r="L154" s="82"/>
    </x:row>
    <x:row r="155">
      <x:c r="A155" s="81"/>
      <x:c r="B155" s="82"/>
      <x:c r="C155" s="82"/>
      <x:c r="D155" s="82"/>
      <x:c r="E155" s="82"/>
      <x:c r="F155" s="82"/>
      <x:c r="G155" s="82"/>
      <x:c r="H155" s="82"/>
      <x:c r="I155" s="82"/>
      <x:c r="J155" s="82"/>
      <x:c r="K155" s="82"/>
      <x:c r="L155" s="82"/>
    </x:row>
    <x:row r="156">
      <x:c r="A156" s="81"/>
      <x:c r="B156" s="82"/>
      <x:c r="C156" s="82"/>
      <x:c r="D156" s="82"/>
      <x:c r="E156" s="82"/>
      <x:c r="F156" s="82"/>
      <x:c r="G156" s="82"/>
      <x:c r="H156" s="82"/>
      <x:c r="I156" s="82"/>
      <x:c r="J156" s="82"/>
      <x:c r="K156" s="82"/>
      <x:c r="L156" s="82"/>
    </x:row>
    <x:row r="157">
      <x:c r="A157" s="81"/>
      <x:c r="B157" s="82"/>
      <x:c r="C157" s="82"/>
      <x:c r="D157" s="82"/>
      <x:c r="E157" s="82"/>
      <x:c r="F157" s="82"/>
      <x:c r="G157" s="82"/>
      <x:c r="H157" s="82"/>
      <x:c r="I157" s="82"/>
      <x:c r="J157" s="82"/>
      <x:c r="K157" s="82"/>
      <x:c r="L157" s="82"/>
    </x:row>
    <x:row r="158">
      <x:c r="A158" s="81"/>
      <x:c r="B158" s="82"/>
      <x:c r="C158" s="82"/>
      <x:c r="D158" s="82"/>
      <x:c r="E158" s="82"/>
      <x:c r="F158" s="82"/>
      <x:c r="G158" s="82"/>
      <x:c r="H158" s="82"/>
      <x:c r="I158" s="82"/>
      <x:c r="J158" s="82"/>
      <x:c r="K158" s="82"/>
      <x:c r="L158" s="82"/>
    </x:row>
    <x:row r="159">
      <x:c r="A159" s="81"/>
      <x:c r="B159" s="82"/>
      <x:c r="C159" s="82"/>
      <x:c r="D159" s="82"/>
      <x:c r="E159" s="82"/>
      <x:c r="F159" s="82"/>
      <x:c r="G159" s="82"/>
      <x:c r="H159" s="82"/>
      <x:c r="I159" s="82"/>
      <x:c r="J159" s="82"/>
      <x:c r="K159" s="82"/>
      <x:c r="L159" s="82"/>
    </x:row>
    <x:row r="160">
      <x:c r="A160" s="81"/>
      <x:c r="B160" s="82"/>
      <x:c r="C160" s="82"/>
      <x:c r="D160" s="82"/>
      <x:c r="E160" s="82"/>
      <x:c r="F160" s="82"/>
      <x:c r="G160" s="82"/>
      <x:c r="H160" s="82"/>
      <x:c r="I160" s="82"/>
      <x:c r="J160" s="82"/>
      <x:c r="K160" s="82"/>
      <x:c r="L160" s="82"/>
    </x:row>
    <x:row r="161">
      <x:c r="A161" s="81"/>
      <x:c r="B161" s="82"/>
      <x:c r="C161" s="82"/>
      <x:c r="D161" s="82"/>
      <x:c r="E161" s="82"/>
      <x:c r="F161" s="82"/>
      <x:c r="G161" s="82"/>
      <x:c r="H161" s="82"/>
      <x:c r="I161" s="82"/>
      <x:c r="J161" s="82"/>
      <x:c r="K161" s="82"/>
      <x:c r="L161" s="82"/>
    </x:row>
    <x:row r="162">
      <x:c r="A162" s="81"/>
      <x:c r="B162" s="82"/>
      <x:c r="C162" s="82"/>
      <x:c r="D162" s="82"/>
      <x:c r="E162" s="82"/>
      <x:c r="F162" s="82"/>
      <x:c r="G162" s="82"/>
      <x:c r="H162" s="82"/>
      <x:c r="I162" s="82"/>
      <x:c r="J162" s="82"/>
      <x:c r="K162" s="82"/>
      <x:c r="L162" s="82"/>
    </x:row>
    <x:row r="163">
      <x:c r="A163" s="81"/>
      <x:c r="B163" s="82"/>
      <x:c r="C163" s="82"/>
      <x:c r="D163" s="82"/>
      <x:c r="E163" s="82"/>
      <x:c r="F163" s="82"/>
      <x:c r="G163" s="82"/>
      <x:c r="H163" s="82"/>
      <x:c r="I163" s="82"/>
      <x:c r="J163" s="82"/>
      <x:c r="K163" s="82"/>
      <x:c r="L163" s="82"/>
    </x:row>
    <x:row r="164">
      <x:c r="A164" s="81"/>
      <x:c r="B164" s="82"/>
      <x:c r="C164" s="82"/>
      <x:c r="D164" s="82"/>
      <x:c r="E164" s="82"/>
      <x:c r="F164" s="82"/>
      <x:c r="G164" s="82"/>
      <x:c r="H164" s="82"/>
      <x:c r="I164" s="82"/>
      <x:c r="J164" s="82"/>
      <x:c r="K164" s="82"/>
      <x:c r="L164" s="82"/>
    </x:row>
    <x:row r="165">
      <x:c r="A165" s="81"/>
      <x:c r="B165" s="82"/>
      <x:c r="C165" s="82"/>
      <x:c r="D165" s="82"/>
      <x:c r="E165" s="82"/>
      <x:c r="F165" s="82"/>
      <x:c r="G165" s="82"/>
      <x:c r="H165" s="82"/>
      <x:c r="I165" s="82"/>
      <x:c r="J165" s="82"/>
      <x:c r="K165" s="82"/>
      <x:c r="L165" s="82"/>
    </x:row>
    <x:row r="166">
      <x:c r="A166" s="81"/>
      <x:c r="B166" s="82"/>
      <x:c r="C166" s="82"/>
      <x:c r="D166" s="82"/>
      <x:c r="E166" s="82"/>
      <x:c r="F166" s="82"/>
      <x:c r="G166" s="82"/>
      <x:c r="H166" s="82"/>
      <x:c r="I166" s="82"/>
      <x:c r="J166" s="82"/>
      <x:c r="K166" s="82"/>
      <x:c r="L166" s="82"/>
    </x:row>
    <x:row r="167">
      <x:c r="A167" s="81"/>
      <x:c r="B167" s="82"/>
      <x:c r="C167" s="82"/>
      <x:c r="D167" s="82"/>
      <x:c r="E167" s="82"/>
      <x:c r="F167" s="82"/>
      <x:c r="G167" s="82"/>
      <x:c r="H167" s="82"/>
      <x:c r="I167" s="82"/>
      <x:c r="J167" s="82"/>
      <x:c r="K167" s="82"/>
      <x:c r="L167" s="82"/>
    </x:row>
    <x:row r="168">
      <x:c r="A168" s="81"/>
      <x:c r="B168" s="82"/>
      <x:c r="C168" s="82"/>
      <x:c r="D168" s="82"/>
      <x:c r="E168" s="82"/>
      <x:c r="F168" s="82"/>
      <x:c r="G168" s="82"/>
      <x:c r="H168" s="82"/>
      <x:c r="I168" s="82"/>
      <x:c r="J168" s="82"/>
      <x:c r="K168" s="82"/>
      <x:c r="L168" s="82"/>
    </x:row>
    <x:row r="169">
      <x:c r="A169" s="81"/>
      <x:c r="B169" s="82"/>
      <x:c r="C169" s="82"/>
      <x:c r="D169" s="82"/>
      <x:c r="E169" s="82"/>
      <x:c r="F169" s="82"/>
      <x:c r="G169" s="82"/>
      <x:c r="H169" s="82"/>
      <x:c r="I169" s="82"/>
      <x:c r="J169" s="82"/>
      <x:c r="K169" s="82"/>
      <x:c r="L169" s="82"/>
    </x:row>
    <x:row r="170">
      <x:c r="A170" s="81"/>
      <x:c r="B170" s="82"/>
      <x:c r="C170" s="82"/>
      <x:c r="D170" s="82"/>
      <x:c r="E170" s="82"/>
      <x:c r="F170" s="82"/>
      <x:c r="G170" s="82"/>
      <x:c r="H170" s="82"/>
      <x:c r="I170" s="82"/>
      <x:c r="J170" s="82"/>
      <x:c r="K170" s="82"/>
      <x:c r="L170" s="82"/>
    </x:row>
    <x:row r="171">
      <x:c r="A171" s="81"/>
      <x:c r="B171" s="82"/>
      <x:c r="C171" s="82"/>
      <x:c r="D171" s="82"/>
      <x:c r="E171" s="82"/>
      <x:c r="F171" s="82"/>
      <x:c r="G171" s="82"/>
      <x:c r="H171" s="82"/>
      <x:c r="I171" s="82"/>
      <x:c r="J171" s="82"/>
      <x:c r="K171" s="82"/>
      <x:c r="L171" s="82"/>
    </x:row>
    <x:row r="172">
      <x:c r="A172" s="81"/>
      <x:c r="B172" s="82"/>
      <x:c r="C172" s="82"/>
      <x:c r="D172" s="82"/>
      <x:c r="E172" s="82"/>
      <x:c r="F172" s="82"/>
      <x:c r="G172" s="82"/>
      <x:c r="H172" s="82"/>
      <x:c r="I172" s="82"/>
      <x:c r="J172" s="82"/>
      <x:c r="K172" s="82"/>
      <x:c r="L172" s="82"/>
    </x:row>
    <x:row r="173">
      <x:c r="A173" s="81"/>
      <x:c r="B173" s="82"/>
      <x:c r="C173" s="82"/>
      <x:c r="D173" s="82"/>
      <x:c r="E173" s="82"/>
      <x:c r="F173" s="82"/>
      <x:c r="G173" s="82"/>
      <x:c r="H173" s="82"/>
      <x:c r="I173" s="82"/>
      <x:c r="J173" s="82"/>
      <x:c r="K173" s="82"/>
      <x:c r="L173" s="82"/>
    </x:row>
    <x:row r="174">
      <x:c r="A174" s="81"/>
      <x:c r="B174" s="82"/>
      <x:c r="C174" s="82"/>
      <x:c r="D174" s="82"/>
      <x:c r="E174" s="82"/>
      <x:c r="F174" s="82"/>
      <x:c r="G174" s="82"/>
      <x:c r="H174" s="82"/>
      <x:c r="I174" s="82"/>
      <x:c r="J174" s="82"/>
      <x:c r="K174" s="82"/>
      <x:c r="L174" s="82"/>
    </x:row>
    <x:row r="175">
      <x:c r="A175" s="81"/>
      <x:c r="B175" s="82"/>
      <x:c r="C175" s="82"/>
      <x:c r="D175" s="82"/>
      <x:c r="E175" s="82"/>
      <x:c r="F175" s="82"/>
      <x:c r="G175" s="82"/>
      <x:c r="H175" s="82"/>
      <x:c r="I175" s="82"/>
      <x:c r="J175" s="82"/>
      <x:c r="K175" s="82"/>
      <x:c r="L175" s="82"/>
    </x:row>
    <x:row r="176">
      <x:c r="A176" s="81"/>
      <x:c r="B176" s="82"/>
      <x:c r="C176" s="82"/>
      <x:c r="D176" s="82"/>
      <x:c r="E176" s="82"/>
      <x:c r="F176" s="82"/>
      <x:c r="G176" s="82"/>
      <x:c r="H176" s="82"/>
      <x:c r="I176" s="82"/>
      <x:c r="J176" s="82"/>
      <x:c r="K176" s="82"/>
      <x:c r="L176" s="82"/>
    </x:row>
    <x:row r="177">
      <x:c r="A177" s="81"/>
      <x:c r="B177" s="82"/>
      <x:c r="C177" s="82"/>
      <x:c r="D177" s="82"/>
      <x:c r="E177" s="82"/>
      <x:c r="F177" s="82"/>
      <x:c r="G177" s="82"/>
      <x:c r="H177" s="82"/>
      <x:c r="I177" s="82"/>
      <x:c r="J177" s="82"/>
      <x:c r="K177" s="82"/>
      <x:c r="L177" s="82"/>
    </x:row>
    <x:row r="178">
      <x:c r="A178" s="81"/>
      <x:c r="B178" s="82"/>
      <x:c r="C178" s="82"/>
      <x:c r="D178" s="82"/>
      <x:c r="E178" s="82"/>
      <x:c r="F178" s="82"/>
      <x:c r="G178" s="82"/>
      <x:c r="H178" s="82"/>
      <x:c r="I178" s="82"/>
      <x:c r="J178" s="82"/>
      <x:c r="K178" s="82"/>
      <x:c r="L178" s="82"/>
    </x:row>
    <x:row r="179">
      <x:c r="A179" s="81"/>
      <x:c r="B179" s="82"/>
      <x:c r="C179" s="82"/>
      <x:c r="D179" s="82"/>
      <x:c r="E179" s="82"/>
      <x:c r="F179" s="82"/>
      <x:c r="G179" s="82"/>
      <x:c r="H179" s="82"/>
      <x:c r="I179" s="82"/>
      <x:c r="J179" s="82"/>
      <x:c r="K179" s="82"/>
      <x:c r="L179" s="82"/>
    </x:row>
    <x:row r="180">
      <x:c r="A180" s="81"/>
      <x:c r="B180" s="82"/>
      <x:c r="C180" s="82"/>
      <x:c r="D180" s="82"/>
      <x:c r="E180" s="82"/>
      <x:c r="F180" s="82"/>
      <x:c r="G180" s="82"/>
      <x:c r="H180" s="82"/>
      <x:c r="I180" s="82"/>
      <x:c r="J180" s="82"/>
      <x:c r="K180" s="82"/>
      <x:c r="L180" s="82"/>
    </x:row>
    <x:row r="181">
      <x:c r="A181" s="81"/>
      <x:c r="B181" s="82"/>
      <x:c r="C181" s="82"/>
      <x:c r="D181" s="82"/>
      <x:c r="E181" s="82"/>
      <x:c r="F181" s="82"/>
      <x:c r="G181" s="82"/>
      <x:c r="H181" s="82"/>
      <x:c r="I181" s="82"/>
      <x:c r="J181" s="82"/>
      <x:c r="K181" s="82"/>
      <x:c r="L181" s="82"/>
    </x:row>
    <x:row r="182">
      <x:c r="A182" s="81"/>
      <x:c r="B182" s="82"/>
      <x:c r="C182" s="82"/>
      <x:c r="D182" s="82"/>
      <x:c r="E182" s="82"/>
      <x:c r="F182" s="82"/>
      <x:c r="G182" s="82"/>
      <x:c r="H182" s="82"/>
      <x:c r="I182" s="82"/>
      <x:c r="J182" s="82"/>
      <x:c r="K182" s="82"/>
      <x:c r="L182" s="82"/>
    </x:row>
    <x:row r="183">
      <x:c r="A183" s="81"/>
      <x:c r="B183" s="82"/>
      <x:c r="C183" s="82"/>
      <x:c r="D183" s="82"/>
      <x:c r="E183" s="82"/>
      <x:c r="F183" s="82"/>
      <x:c r="G183" s="82"/>
      <x:c r="H183" s="82"/>
      <x:c r="I183" s="82"/>
      <x:c r="J183" s="82"/>
      <x:c r="K183" s="82"/>
      <x:c r="L183" s="82"/>
    </x:row>
    <x:row r="184">
      <x:c r="A184" s="81"/>
      <x:c r="B184" s="82"/>
      <x:c r="C184" s="82"/>
      <x:c r="D184" s="82"/>
      <x:c r="E184" s="82"/>
      <x:c r="F184" s="82"/>
      <x:c r="G184" s="82"/>
      <x:c r="H184" s="82"/>
      <x:c r="I184" s="82"/>
      <x:c r="J184" s="82"/>
      <x:c r="K184" s="82"/>
      <x:c r="L184" s="82"/>
    </x:row>
    <x:row r="185">
      <x:c r="A185" s="81"/>
      <x:c r="B185" s="82"/>
      <x:c r="C185" s="82"/>
      <x:c r="D185" s="82"/>
      <x:c r="E185" s="82"/>
      <x:c r="F185" s="82"/>
      <x:c r="G185" s="82"/>
      <x:c r="H185" s="82"/>
      <x:c r="I185" s="82"/>
      <x:c r="J185" s="82"/>
      <x:c r="K185" s="82"/>
      <x:c r="L185" s="82"/>
    </x:row>
    <x:row r="186">
      <x:c r="A186" s="81"/>
      <x:c r="B186" s="82"/>
      <x:c r="C186" s="82"/>
      <x:c r="D186" s="82"/>
      <x:c r="E186" s="82"/>
      <x:c r="F186" s="82"/>
      <x:c r="G186" s="82"/>
      <x:c r="H186" s="82"/>
      <x:c r="I186" s="82"/>
      <x:c r="J186" s="82"/>
      <x:c r="K186" s="82"/>
      <x:c r="L186" s="82"/>
    </x:row>
    <x:row r="187">
      <x:c r="A187" s="81"/>
      <x:c r="B187" s="82"/>
      <x:c r="C187" s="82"/>
      <x:c r="D187" s="82"/>
      <x:c r="E187" s="82"/>
      <x:c r="F187" s="82"/>
      <x:c r="G187" s="82"/>
      <x:c r="H187" s="82"/>
      <x:c r="I187" s="82"/>
      <x:c r="J187" s="82"/>
      <x:c r="K187" s="82"/>
      <x:c r="L187" s="82"/>
    </x:row>
    <x:row r="188">
      <x:c r="A188" s="81"/>
      <x:c r="B188" s="82"/>
      <x:c r="C188" s="82"/>
      <x:c r="D188" s="82"/>
      <x:c r="E188" s="82"/>
      <x:c r="F188" s="82"/>
      <x:c r="G188" s="82"/>
      <x:c r="H188" s="82"/>
      <x:c r="I188" s="82"/>
      <x:c r="J188" s="82"/>
      <x:c r="K188" s="82"/>
      <x:c r="L188" s="82"/>
    </x:row>
    <x:row r="189">
      <x:c r="A189" s="81"/>
      <x:c r="B189" s="82"/>
      <x:c r="C189" s="82"/>
      <x:c r="D189" s="82"/>
      <x:c r="E189" s="82"/>
      <x:c r="F189" s="82"/>
      <x:c r="G189" s="82"/>
      <x:c r="H189" s="82"/>
      <x:c r="I189" s="82"/>
      <x:c r="J189" s="82"/>
      <x:c r="K189" s="82"/>
      <x:c r="L189" s="82"/>
    </x:row>
    <x:row r="190">
      <x:c r="A190" s="81"/>
      <x:c r="B190" s="82"/>
      <x:c r="C190" s="82"/>
      <x:c r="D190" s="82"/>
      <x:c r="E190" s="82"/>
      <x:c r="F190" s="82"/>
      <x:c r="G190" s="82"/>
      <x:c r="H190" s="82"/>
      <x:c r="I190" s="82"/>
      <x:c r="J190" s="82"/>
      <x:c r="K190" s="82"/>
      <x:c r="L190" s="82"/>
    </x:row>
    <x:row r="191">
      <x:c r="A191" s="81"/>
      <x:c r="B191" s="82"/>
      <x:c r="C191" s="82"/>
      <x:c r="D191" s="82"/>
      <x:c r="E191" s="82"/>
      <x:c r="F191" s="82"/>
      <x:c r="G191" s="82"/>
      <x:c r="H191" s="82"/>
      <x:c r="I191" s="82"/>
      <x:c r="J191" s="82"/>
      <x:c r="K191" s="82"/>
      <x:c r="L191" s="82"/>
    </x:row>
    <x:row r="192">
      <x:c r="A192" s="81"/>
      <x:c r="B192" s="82"/>
      <x:c r="C192" s="82"/>
      <x:c r="D192" s="82"/>
      <x:c r="E192" s="82"/>
      <x:c r="F192" s="82"/>
      <x:c r="G192" s="82"/>
      <x:c r="H192" s="82"/>
      <x:c r="I192" s="82"/>
      <x:c r="J192" s="82"/>
      <x:c r="K192" s="82"/>
      <x:c r="L192" s="82"/>
    </x:row>
    <x:row r="193">
      <x:c r="A193" s="81"/>
      <x:c r="B193" s="82"/>
      <x:c r="C193" s="82"/>
      <x:c r="D193" s="82"/>
      <x:c r="E193" s="82"/>
      <x:c r="F193" s="82"/>
      <x:c r="G193" s="82"/>
      <x:c r="H193" s="82"/>
      <x:c r="I193" s="82"/>
      <x:c r="J193" s="82"/>
      <x:c r="K193" s="82"/>
      <x:c r="L193" s="82"/>
    </x:row>
    <x:row r="194">
      <x:c r="A194" s="81"/>
      <x:c r="B194" s="82"/>
      <x:c r="C194" s="82"/>
      <x:c r="D194" s="82"/>
      <x:c r="E194" s="82"/>
      <x:c r="F194" s="82"/>
      <x:c r="G194" s="82"/>
      <x:c r="H194" s="82"/>
      <x:c r="I194" s="82"/>
      <x:c r="J194" s="82"/>
      <x:c r="K194" s="82"/>
      <x:c r="L194" s="82"/>
    </x:row>
    <x:row r="195">
      <x:c r="A195" s="81"/>
      <x:c r="B195" s="82"/>
      <x:c r="C195" s="82"/>
      <x:c r="D195" s="82"/>
      <x:c r="E195" s="82"/>
      <x:c r="F195" s="82"/>
      <x:c r="G195" s="82"/>
      <x:c r="H195" s="82"/>
      <x:c r="I195" s="82"/>
      <x:c r="J195" s="82"/>
      <x:c r="K195" s="82"/>
      <x:c r="L195" s="82"/>
    </x:row>
    <x:row r="196">
      <x:c r="A196" s="81"/>
      <x:c r="B196" s="82"/>
      <x:c r="C196" s="82"/>
      <x:c r="D196" s="82"/>
      <x:c r="E196" s="82"/>
      <x:c r="F196" s="82"/>
      <x:c r="G196" s="82"/>
      <x:c r="H196" s="82"/>
      <x:c r="I196" s="82"/>
      <x:c r="J196" s="82"/>
      <x:c r="K196" s="82"/>
      <x:c r="L196" s="82"/>
    </x:row>
    <x:row r="197">
      <x:c r="A197" s="81"/>
      <x:c r="B197" s="82"/>
      <x:c r="C197" s="82"/>
      <x:c r="D197" s="82"/>
      <x:c r="E197" s="82"/>
      <x:c r="F197" s="82"/>
      <x:c r="G197" s="82"/>
      <x:c r="H197" s="82"/>
      <x:c r="I197" s="82"/>
      <x:c r="J197" s="82"/>
      <x:c r="K197" s="82"/>
      <x:c r="L197" s="82"/>
    </x:row>
    <x:row r="198">
      <x:c r="A198" s="81"/>
      <x:c r="B198" s="82"/>
      <x:c r="C198" s="82"/>
      <x:c r="D198" s="82"/>
      <x:c r="E198" s="82"/>
      <x:c r="F198" s="82"/>
      <x:c r="G198" s="82"/>
      <x:c r="H198" s="82"/>
      <x:c r="I198" s="82"/>
      <x:c r="J198" s="82"/>
      <x:c r="K198" s="82"/>
      <x:c r="L198" s="82"/>
    </x:row>
    <x:row r="199">
      <x:c r="A199" s="81"/>
      <x:c r="B199" s="82"/>
      <x:c r="C199" s="82"/>
      <x:c r="D199" s="82"/>
      <x:c r="E199" s="82"/>
      <x:c r="F199" s="82"/>
      <x:c r="G199" s="82"/>
      <x:c r="H199" s="82"/>
      <x:c r="I199" s="82"/>
      <x:c r="J199" s="82"/>
      <x:c r="K199" s="82"/>
      <x:c r="L199" s="82"/>
    </x:row>
    <x:row r="200">
      <x:c r="A200" s="81"/>
      <x:c r="B200" s="82"/>
      <x:c r="C200" s="82"/>
      <x:c r="D200" s="82"/>
      <x:c r="E200" s="82"/>
      <x:c r="F200" s="82"/>
      <x:c r="G200" s="82"/>
      <x:c r="H200" s="82"/>
      <x:c r="I200" s="82"/>
      <x:c r="J200" s="82"/>
      <x:c r="K200" s="82"/>
      <x:c r="L200" s="82"/>
    </x:row>
    <x:row r="201">
      <x:c r="A201" s="81"/>
      <x:c r="B201" s="82"/>
      <x:c r="C201" s="82"/>
      <x:c r="D201" s="82"/>
      <x:c r="E201" s="82"/>
      <x:c r="F201" s="82"/>
      <x:c r="G201" s="82"/>
      <x:c r="H201" s="82"/>
      <x:c r="I201" s="82"/>
      <x:c r="J201" s="82"/>
      <x:c r="K201" s="82"/>
      <x:c r="L201" s="82"/>
    </x:row>
    <x:row r="202">
      <x:c r="A202" s="81"/>
      <x:c r="B202" s="82"/>
      <x:c r="C202" s="82"/>
      <x:c r="D202" s="82"/>
      <x:c r="E202" s="82"/>
      <x:c r="F202" s="82"/>
      <x:c r="G202" s="82"/>
      <x:c r="H202" s="82"/>
      <x:c r="I202" s="82"/>
      <x:c r="J202" s="82"/>
      <x:c r="K202" s="82"/>
      <x:c r="L202" s="82"/>
    </x:row>
    <x:row r="203">
      <x:c r="A203" s="81"/>
      <x:c r="B203" s="82"/>
      <x:c r="C203" s="82"/>
      <x:c r="D203" s="82"/>
      <x:c r="E203" s="82"/>
      <x:c r="F203" s="82"/>
      <x:c r="G203" s="82"/>
      <x:c r="H203" s="82"/>
      <x:c r="I203" s="82"/>
      <x:c r="J203" s="82"/>
      <x:c r="K203" s="82"/>
      <x:c r="L203" s="82"/>
    </x:row>
    <x:row r="204">
      <x:c r="A204" s="81"/>
      <x:c r="B204" s="82"/>
      <x:c r="C204" s="82"/>
      <x:c r="D204" s="82"/>
      <x:c r="E204" s="82"/>
      <x:c r="F204" s="82"/>
      <x:c r="G204" s="82"/>
      <x:c r="H204" s="82"/>
      <x:c r="I204" s="82"/>
      <x:c r="J204" s="82"/>
      <x:c r="K204" s="82"/>
      <x:c r="L204" s="82"/>
    </x:row>
    <x:row r="205">
      <x:c r="A205" s="81"/>
      <x:c r="B205" s="82"/>
      <x:c r="C205" s="82"/>
      <x:c r="D205" s="82"/>
      <x:c r="E205" s="82"/>
      <x:c r="F205" s="82"/>
      <x:c r="G205" s="82"/>
      <x:c r="H205" s="82"/>
      <x:c r="I205" s="82"/>
      <x:c r="J205" s="82"/>
      <x:c r="K205" s="82"/>
      <x:c r="L205" s="82"/>
    </x:row>
    <x:row r="206">
      <x:c r="A206" s="81"/>
      <x:c r="B206" s="82"/>
      <x:c r="C206" s="82"/>
      <x:c r="D206" s="82"/>
      <x:c r="E206" s="82"/>
      <x:c r="F206" s="82"/>
      <x:c r="G206" s="82"/>
      <x:c r="H206" s="82"/>
      <x:c r="I206" s="82"/>
      <x:c r="J206" s="82"/>
      <x:c r="K206" s="82"/>
      <x:c r="L206" s="82"/>
    </x:row>
    <x:row r="207">
      <x:c r="A207" s="81"/>
      <x:c r="B207" s="82"/>
      <x:c r="C207" s="82"/>
      <x:c r="D207" s="82"/>
      <x:c r="E207" s="82"/>
      <x:c r="F207" s="82"/>
      <x:c r="G207" s="82"/>
      <x:c r="H207" s="82"/>
      <x:c r="I207" s="82"/>
      <x:c r="J207" s="82"/>
      <x:c r="K207" s="82"/>
      <x:c r="L207" s="82"/>
    </x:row>
    <x:row r="208">
      <x:c r="A208" s="81"/>
      <x:c r="B208" s="82"/>
      <x:c r="C208" s="82"/>
      <x:c r="D208" s="82"/>
      <x:c r="E208" s="82"/>
      <x:c r="F208" s="82"/>
      <x:c r="G208" s="82"/>
      <x:c r="H208" s="82"/>
      <x:c r="I208" s="82"/>
      <x:c r="J208" s="82"/>
      <x:c r="K208" s="82"/>
      <x:c r="L208" s="82"/>
    </x:row>
    <x:row r="209">
      <x:c r="A209" s="81"/>
      <x:c r="B209" s="82"/>
      <x:c r="C209" s="82"/>
      <x:c r="D209" s="82"/>
      <x:c r="E209" s="82"/>
      <x:c r="F209" s="82"/>
      <x:c r="G209" s="82"/>
      <x:c r="H209" s="82"/>
      <x:c r="I209" s="82"/>
      <x:c r="J209" s="82"/>
      <x:c r="K209" s="82"/>
      <x:c r="L209" s="82"/>
    </x:row>
    <x:row r="210">
      <x:c r="A210" s="81"/>
      <x:c r="B210" s="82"/>
      <x:c r="C210" s="82"/>
      <x:c r="D210" s="82"/>
      <x:c r="E210" s="82"/>
      <x:c r="F210" s="82"/>
      <x:c r="G210" s="82"/>
      <x:c r="H210" s="82"/>
      <x:c r="I210" s="82"/>
      <x:c r="J210" s="82"/>
      <x:c r="K210" s="82"/>
      <x:c r="L210" s="82"/>
    </x:row>
    <x:row r="211">
      <x:c r="A211" s="81"/>
      <x:c r="B211" s="82"/>
      <x:c r="C211" s="82"/>
      <x:c r="D211" s="82"/>
      <x:c r="E211" s="82"/>
      <x:c r="F211" s="82"/>
      <x:c r="G211" s="82"/>
      <x:c r="H211" s="82"/>
      <x:c r="I211" s="82"/>
      <x:c r="J211" s="82"/>
      <x:c r="K211" s="82"/>
      <x:c r="L211" s="82"/>
    </x:row>
    <x:row r="212">
      <x:c r="A212" s="81"/>
      <x:c r="B212" s="82"/>
      <x:c r="C212" s="82"/>
      <x:c r="D212" s="82"/>
      <x:c r="E212" s="82"/>
      <x:c r="F212" s="82"/>
      <x:c r="G212" s="82"/>
      <x:c r="H212" s="82"/>
      <x:c r="I212" s="82"/>
      <x:c r="J212" s="82"/>
      <x:c r="K212" s="82"/>
      <x:c r="L212" s="82"/>
    </x:row>
    <x:row r="213">
      <x:c r="A213" s="81"/>
      <x:c r="B213" s="82"/>
      <x:c r="C213" s="82"/>
      <x:c r="D213" s="82"/>
      <x:c r="E213" s="82"/>
      <x:c r="F213" s="82"/>
      <x:c r="G213" s="82"/>
      <x:c r="H213" s="82"/>
      <x:c r="I213" s="82"/>
      <x:c r="J213" s="82"/>
      <x:c r="K213" s="82"/>
      <x:c r="L213" s="82"/>
    </x:row>
    <x:row r="214">
      <x:c r="A214" s="81"/>
      <x:c r="B214" s="82"/>
      <x:c r="C214" s="82"/>
      <x:c r="D214" s="82"/>
      <x:c r="E214" s="82"/>
      <x:c r="F214" s="82"/>
      <x:c r="G214" s="82"/>
      <x:c r="H214" s="82"/>
      <x:c r="I214" s="82"/>
      <x:c r="J214" s="82"/>
      <x:c r="K214" s="82"/>
      <x:c r="L214" s="82"/>
    </x:row>
    <x:row r="215">
      <x:c r="A215" s="81"/>
      <x:c r="B215" s="82"/>
      <x:c r="C215" s="82"/>
      <x:c r="D215" s="82"/>
      <x:c r="E215" s="82"/>
      <x:c r="F215" s="82"/>
      <x:c r="G215" s="82"/>
      <x:c r="H215" s="82"/>
      <x:c r="I215" s="82"/>
      <x:c r="J215" s="82"/>
      <x:c r="K215" s="82"/>
      <x:c r="L215" s="82"/>
    </x:row>
    <x:row r="216">
      <x:c r="A216" s="81"/>
      <x:c r="B216" s="82"/>
      <x:c r="C216" s="82"/>
      <x:c r="D216" s="82"/>
      <x:c r="E216" s="82"/>
      <x:c r="F216" s="82"/>
      <x:c r="G216" s="82"/>
      <x:c r="H216" s="82"/>
      <x:c r="I216" s="82"/>
      <x:c r="J216" s="82"/>
      <x:c r="K216" s="82"/>
      <x:c r="L216" s="82"/>
    </x:row>
    <x:row r="217">
      <x:c r="A217" s="81"/>
      <x:c r="B217" s="82"/>
      <x:c r="C217" s="82"/>
      <x:c r="D217" s="82"/>
      <x:c r="E217" s="82"/>
      <x:c r="F217" s="82"/>
      <x:c r="G217" s="82"/>
      <x:c r="H217" s="82"/>
      <x:c r="I217" s="82"/>
      <x:c r="J217" s="82"/>
      <x:c r="K217" s="82"/>
      <x:c r="L217" s="82"/>
    </x:row>
    <x:row r="218">
      <x:c r="A218" s="81"/>
      <x:c r="B218" s="82"/>
      <x:c r="C218" s="82"/>
      <x:c r="D218" s="82"/>
      <x:c r="E218" s="82"/>
      <x:c r="F218" s="82"/>
      <x:c r="G218" s="82"/>
      <x:c r="H218" s="82"/>
      <x:c r="I218" s="82"/>
      <x:c r="J218" s="82"/>
      <x:c r="K218" s="82"/>
      <x:c r="L218" s="82"/>
    </x:row>
    <x:row r="219">
      <x:c r="A219" s="81"/>
      <x:c r="B219" s="82"/>
      <x:c r="C219" s="82"/>
      <x:c r="D219" s="82"/>
      <x:c r="E219" s="82"/>
      <x:c r="F219" s="82"/>
      <x:c r="G219" s="82"/>
      <x:c r="H219" s="82"/>
      <x:c r="I219" s="82"/>
      <x:c r="J219" s="82"/>
      <x:c r="K219" s="82"/>
      <x:c r="L219" s="82"/>
    </x:row>
    <x:row r="220">
      <x:c r="A220" s="81"/>
      <x:c r="B220" s="82"/>
      <x:c r="C220" s="82"/>
      <x:c r="D220" s="82"/>
      <x:c r="E220" s="82"/>
      <x:c r="F220" s="82"/>
      <x:c r="G220" s="82"/>
      <x:c r="H220" s="82"/>
      <x:c r="I220" s="82"/>
      <x:c r="J220" s="82"/>
      <x:c r="K220" s="82"/>
      <x:c r="L220" s="82"/>
    </x:row>
    <x:row r="221">
      <x:c r="A221" s="81"/>
      <x:c r="B221" s="82"/>
      <x:c r="C221" s="82"/>
      <x:c r="D221" s="82"/>
      <x:c r="E221" s="82"/>
      <x:c r="F221" s="82"/>
      <x:c r="G221" s="82"/>
      <x:c r="H221" s="82"/>
      <x:c r="I221" s="82"/>
      <x:c r="J221" s="82"/>
      <x:c r="K221" s="82"/>
      <x:c r="L221" s="82"/>
    </x:row>
    <x:row r="222">
      <x:c r="A222" s="81"/>
      <x:c r="B222" s="82"/>
      <x:c r="C222" s="82"/>
      <x:c r="D222" s="82"/>
      <x:c r="E222" s="82"/>
      <x:c r="F222" s="82"/>
      <x:c r="G222" s="82"/>
      <x:c r="H222" s="82"/>
      <x:c r="I222" s="82"/>
      <x:c r="J222" s="82"/>
      <x:c r="K222" s="82"/>
      <x:c r="L222" s="82"/>
    </x:row>
    <x:row r="223">
      <x:c r="A223" s="81"/>
      <x:c r="B223" s="82"/>
      <x:c r="C223" s="82"/>
      <x:c r="D223" s="82"/>
      <x:c r="E223" s="82"/>
      <x:c r="F223" s="82"/>
      <x:c r="G223" s="82"/>
      <x:c r="H223" s="82"/>
      <x:c r="I223" s="82"/>
      <x:c r="J223" s="82"/>
      <x:c r="K223" s="82"/>
      <x:c r="L223" s="82"/>
    </x:row>
    <x:row r="224">
      <x:c r="A224" s="81"/>
      <x:c r="B224" s="82"/>
      <x:c r="C224" s="82"/>
      <x:c r="D224" s="82"/>
      <x:c r="E224" s="82"/>
      <x:c r="F224" s="82"/>
      <x:c r="G224" s="82"/>
      <x:c r="H224" s="82"/>
      <x:c r="I224" s="82"/>
      <x:c r="J224" s="82"/>
      <x:c r="K224" s="82"/>
      <x:c r="L224" s="82"/>
    </x:row>
    <x:row r="225">
      <x:c r="A225" s="81"/>
      <x:c r="B225" s="82"/>
      <x:c r="C225" s="82"/>
      <x:c r="D225" s="82"/>
      <x:c r="E225" s="82"/>
      <x:c r="F225" s="82"/>
      <x:c r="G225" s="82"/>
      <x:c r="H225" s="82"/>
      <x:c r="I225" s="82"/>
      <x:c r="J225" s="82"/>
      <x:c r="K225" s="82"/>
      <x:c r="L225" s="82"/>
    </x:row>
    <x:row r="226">
      <x:c r="A226" s="81"/>
      <x:c r="B226" s="82"/>
      <x:c r="C226" s="82"/>
      <x:c r="D226" s="82"/>
      <x:c r="E226" s="82"/>
      <x:c r="F226" s="82"/>
      <x:c r="G226" s="82"/>
      <x:c r="H226" s="82"/>
      <x:c r="I226" s="82"/>
      <x:c r="J226" s="82"/>
      <x:c r="K226" s="82"/>
      <x:c r="L226" s="82"/>
    </x:row>
    <x:row r="227">
      <x:c r="A227" s="81"/>
      <x:c r="B227" s="82"/>
      <x:c r="C227" s="82"/>
      <x:c r="D227" s="82"/>
      <x:c r="E227" s="82"/>
      <x:c r="F227" s="82"/>
      <x:c r="G227" s="82"/>
      <x:c r="H227" s="82"/>
      <x:c r="I227" s="82"/>
      <x:c r="J227" s="82"/>
      <x:c r="K227" s="82"/>
      <x:c r="L227" s="82"/>
    </x:row>
    <x:row r="228">
      <x:c r="A228" s="81"/>
      <x:c r="B228" s="82"/>
      <x:c r="C228" s="82"/>
      <x:c r="D228" s="82"/>
      <x:c r="E228" s="82"/>
      <x:c r="F228" s="82"/>
      <x:c r="G228" s="82"/>
      <x:c r="H228" s="82"/>
      <x:c r="I228" s="82"/>
      <x:c r="J228" s="82"/>
      <x:c r="K228" s="82"/>
      <x:c r="L228" s="82"/>
    </x:row>
    <x:row r="229">
      <x:c r="A229" s="81"/>
      <x:c r="B229" s="82"/>
      <x:c r="C229" s="82"/>
      <x:c r="D229" s="82"/>
      <x:c r="E229" s="82"/>
      <x:c r="F229" s="82"/>
      <x:c r="G229" s="82"/>
      <x:c r="H229" s="82"/>
      <x:c r="I229" s="82"/>
      <x:c r="J229" s="82"/>
      <x:c r="K229" s="82"/>
      <x:c r="L229" s="82"/>
    </x:row>
    <x:row r="230">
      <x:c r="A230" s="81"/>
      <x:c r="B230" s="82"/>
      <x:c r="C230" s="82"/>
      <x:c r="D230" s="82"/>
      <x:c r="E230" s="82"/>
      <x:c r="F230" s="82"/>
      <x:c r="G230" s="82"/>
      <x:c r="H230" s="82"/>
      <x:c r="I230" s="82"/>
      <x:c r="J230" s="82"/>
      <x:c r="K230" s="82"/>
      <x:c r="L230" s="82"/>
    </x:row>
    <x:row r="231">
      <x:c r="A231" s="81"/>
      <x:c r="B231" s="82"/>
      <x:c r="C231" s="82"/>
      <x:c r="D231" s="82"/>
      <x:c r="E231" s="82"/>
      <x:c r="F231" s="82"/>
      <x:c r="G231" s="82"/>
      <x:c r="H231" s="82"/>
      <x:c r="I231" s="82"/>
      <x:c r="J231" s="82"/>
      <x:c r="K231" s="82"/>
      <x:c r="L231" s="82"/>
    </x:row>
    <x:row r="232">
      <x:c r="A232" s="81"/>
      <x:c r="B232" s="82"/>
      <x:c r="C232" s="82"/>
      <x:c r="D232" s="82"/>
      <x:c r="E232" s="82"/>
      <x:c r="F232" s="82"/>
      <x:c r="G232" s="82"/>
      <x:c r="H232" s="82"/>
      <x:c r="I232" s="82"/>
      <x:c r="J232" s="82"/>
      <x:c r="K232" s="82"/>
      <x:c r="L232" s="82"/>
    </x:row>
    <x:row r="233">
      <x:c r="A233" s="81"/>
      <x:c r="B233" s="82"/>
      <x:c r="C233" s="82"/>
      <x:c r="D233" s="82"/>
      <x:c r="E233" s="82"/>
      <x:c r="F233" s="82"/>
      <x:c r="G233" s="82"/>
      <x:c r="H233" s="82"/>
      <x:c r="I233" s="82"/>
      <x:c r="J233" s="82"/>
      <x:c r="K233" s="82"/>
      <x:c r="L233" s="82"/>
    </x:row>
    <x:row r="234">
      <x:c r="A234" s="81"/>
      <x:c r="B234" s="82"/>
      <x:c r="C234" s="82"/>
      <x:c r="D234" s="82"/>
      <x:c r="E234" s="82"/>
      <x:c r="F234" s="82"/>
      <x:c r="G234" s="82"/>
      <x:c r="H234" s="82"/>
      <x:c r="I234" s="82"/>
      <x:c r="J234" s="82"/>
      <x:c r="K234" s="82"/>
      <x:c r="L234" s="82"/>
    </x:row>
    <x:row r="235">
      <x:c r="A235" s="81"/>
      <x:c r="B235" s="82"/>
      <x:c r="C235" s="82"/>
      <x:c r="D235" s="82"/>
      <x:c r="E235" s="82"/>
      <x:c r="F235" s="82"/>
      <x:c r="G235" s="82"/>
      <x:c r="H235" s="82"/>
      <x:c r="I235" s="82"/>
      <x:c r="J235" s="82"/>
      <x:c r="K235" s="82"/>
      <x:c r="L235" s="82"/>
    </x:row>
    <x:row r="236">
      <x:c r="A236" s="81"/>
      <x:c r="B236" s="82"/>
      <x:c r="C236" s="82"/>
      <x:c r="D236" s="82"/>
      <x:c r="E236" s="82"/>
      <x:c r="F236" s="82"/>
      <x:c r="G236" s="82"/>
      <x:c r="H236" s="82"/>
      <x:c r="I236" s="82"/>
      <x:c r="J236" s="82"/>
      <x:c r="K236" s="82"/>
      <x:c r="L236" s="82"/>
    </x:row>
    <x:row r="237">
      <x:c r="A237" s="81"/>
      <x:c r="B237" s="82"/>
      <x:c r="C237" s="82"/>
      <x:c r="D237" s="82"/>
      <x:c r="E237" s="82"/>
      <x:c r="F237" s="82"/>
      <x:c r="G237" s="82"/>
      <x:c r="H237" s="82"/>
      <x:c r="I237" s="82"/>
      <x:c r="J237" s="82"/>
      <x:c r="K237" s="82"/>
      <x:c r="L237" s="82"/>
    </x:row>
    <x:row r="238">
      <x:c r="A238" s="81"/>
      <x:c r="B238" s="82"/>
      <x:c r="C238" s="82"/>
      <x:c r="D238" s="82"/>
      <x:c r="E238" s="82"/>
      <x:c r="F238" s="82"/>
      <x:c r="G238" s="82"/>
      <x:c r="H238" s="82"/>
      <x:c r="I238" s="82"/>
      <x:c r="J238" s="82"/>
      <x:c r="K238" s="82"/>
      <x:c r="L238" s="82"/>
    </x:row>
    <x:row r="239">
      <x:c r="A239" s="81"/>
      <x:c r="B239" s="82"/>
      <x:c r="C239" s="82"/>
      <x:c r="D239" s="82"/>
      <x:c r="E239" s="82"/>
      <x:c r="F239" s="82"/>
      <x:c r="G239" s="82"/>
      <x:c r="H239" s="82"/>
      <x:c r="I239" s="82"/>
      <x:c r="J239" s="82"/>
      <x:c r="K239" s="82"/>
      <x:c r="L239" s="82"/>
    </x:row>
    <x:row r="240">
      <x:c r="A240" s="81"/>
      <x:c r="B240" s="82"/>
      <x:c r="C240" s="82"/>
      <x:c r="D240" s="82"/>
      <x:c r="E240" s="82"/>
      <x:c r="F240" s="82"/>
      <x:c r="G240" s="82"/>
      <x:c r="H240" s="82"/>
      <x:c r="I240" s="82"/>
      <x:c r="J240" s="82"/>
      <x:c r="K240" s="82"/>
      <x:c r="L240" s="82"/>
    </x:row>
    <x:row r="241">
      <x:c r="A241" s="81"/>
      <x:c r="B241" s="82"/>
      <x:c r="C241" s="82"/>
      <x:c r="D241" s="82"/>
      <x:c r="E241" s="82"/>
      <x:c r="F241" s="82"/>
      <x:c r="G241" s="82"/>
      <x:c r="H241" s="82"/>
      <x:c r="I241" s="82"/>
      <x:c r="J241" s="82"/>
      <x:c r="K241" s="82"/>
      <x:c r="L241" s="82"/>
    </x:row>
    <x:row r="242">
      <x:c r="A242" s="81"/>
      <x:c r="B242" s="82"/>
      <x:c r="C242" s="82"/>
      <x:c r="D242" s="82"/>
      <x:c r="E242" s="82"/>
      <x:c r="F242" s="82"/>
      <x:c r="G242" s="82"/>
      <x:c r="H242" s="82"/>
      <x:c r="I242" s="82"/>
      <x:c r="J242" s="82"/>
      <x:c r="K242" s="82"/>
      <x:c r="L242" s="82"/>
    </x:row>
    <x:row r="243">
      <x:c r="A243" s="81"/>
      <x:c r="B243" s="82"/>
      <x:c r="C243" s="82"/>
      <x:c r="D243" s="82"/>
      <x:c r="E243" s="82"/>
      <x:c r="F243" s="82"/>
      <x:c r="G243" s="82"/>
      <x:c r="H243" s="82"/>
      <x:c r="I243" s="82"/>
      <x:c r="J243" s="82"/>
      <x:c r="K243" s="82"/>
      <x:c r="L243" s="82"/>
    </x:row>
    <x:row r="244">
      <x:c r="A244" s="81"/>
      <x:c r="B244" s="82"/>
      <x:c r="C244" s="82"/>
      <x:c r="D244" s="82"/>
      <x:c r="E244" s="82"/>
      <x:c r="F244" s="82"/>
      <x:c r="G244" s="82"/>
      <x:c r="H244" s="82"/>
      <x:c r="I244" s="82"/>
      <x:c r="J244" s="82"/>
      <x:c r="K244" s="82"/>
      <x:c r="L244" s="82"/>
    </x:row>
    <x:row r="245">
      <x:c r="A245" s="81"/>
      <x:c r="B245" s="82"/>
      <x:c r="C245" s="82"/>
      <x:c r="D245" s="82"/>
      <x:c r="E245" s="82"/>
      <x:c r="F245" s="82"/>
      <x:c r="G245" s="82"/>
      <x:c r="H245" s="82"/>
      <x:c r="I245" s="82"/>
      <x:c r="J245" s="82"/>
      <x:c r="K245" s="82"/>
      <x:c r="L245" s="82"/>
    </x:row>
    <x:row r="246">
      <x:c r="A246" s="81"/>
      <x:c r="B246" s="82"/>
      <x:c r="C246" s="82"/>
      <x:c r="D246" s="82"/>
      <x:c r="E246" s="82"/>
      <x:c r="F246" s="82"/>
      <x:c r="G246" s="82"/>
      <x:c r="H246" s="82"/>
      <x:c r="I246" s="82"/>
      <x:c r="J246" s="82"/>
      <x:c r="K246" s="82"/>
      <x:c r="L246" s="82"/>
    </x:row>
    <x:row r="247">
      <x:c r="A247" s="81"/>
      <x:c r="B247" s="82"/>
      <x:c r="C247" s="82"/>
      <x:c r="D247" s="82"/>
      <x:c r="E247" s="82"/>
      <x:c r="F247" s="82"/>
      <x:c r="G247" s="82"/>
      <x:c r="H247" s="82"/>
      <x:c r="I247" s="82"/>
      <x:c r="J247" s="82"/>
      <x:c r="K247" s="82"/>
      <x:c r="L247" s="82"/>
    </x:row>
    <x:row r="248">
      <x:c r="A248" s="81"/>
      <x:c r="B248" s="82"/>
      <x:c r="C248" s="82"/>
      <x:c r="D248" s="82"/>
      <x:c r="E248" s="82"/>
      <x:c r="F248" s="82"/>
      <x:c r="G248" s="82"/>
      <x:c r="H248" s="82"/>
      <x:c r="I248" s="82"/>
      <x:c r="J248" s="82"/>
      <x:c r="K248" s="82"/>
      <x:c r="L248" s="82"/>
    </x:row>
    <x:row r="249">
      <x:c r="A249" s="81"/>
      <x:c r="B249" s="82"/>
      <x:c r="C249" s="82"/>
      <x:c r="D249" s="82"/>
      <x:c r="E249" s="82"/>
      <x:c r="F249" s="82"/>
      <x:c r="G249" s="82"/>
      <x:c r="H249" s="82"/>
      <x:c r="I249" s="82"/>
      <x:c r="J249" s="82"/>
      <x:c r="K249" s="82"/>
      <x:c r="L249" s="82"/>
    </x:row>
    <x:row r="250">
      <x:c r="A250" s="81"/>
      <x:c r="B250" s="82"/>
      <x:c r="C250" s="82"/>
      <x:c r="D250" s="82"/>
      <x:c r="E250" s="82"/>
      <x:c r="F250" s="82"/>
      <x:c r="G250" s="82"/>
      <x:c r="H250" s="82"/>
      <x:c r="I250" s="82"/>
      <x:c r="J250" s="82"/>
      <x:c r="K250" s="82"/>
      <x:c r="L250" s="82"/>
    </x:row>
    <x:row r="251">
      <x:c r="A251" s="81"/>
      <x:c r="B251" s="82"/>
      <x:c r="C251" s="82"/>
      <x:c r="D251" s="82"/>
      <x:c r="E251" s="82"/>
      <x:c r="F251" s="82"/>
      <x:c r="G251" s="82"/>
      <x:c r="H251" s="82"/>
      <x:c r="I251" s="82"/>
      <x:c r="J251" s="82"/>
      <x:c r="K251" s="82"/>
      <x:c r="L251" s="82"/>
    </x:row>
    <x:row r="252">
      <x:c r="A252" s="81"/>
      <x:c r="B252" s="82"/>
      <x:c r="C252" s="82"/>
      <x:c r="D252" s="82"/>
      <x:c r="E252" s="82"/>
      <x:c r="F252" s="82"/>
      <x:c r="G252" s="82"/>
      <x:c r="H252" s="82"/>
      <x:c r="I252" s="82"/>
      <x:c r="J252" s="82"/>
      <x:c r="K252" s="82"/>
      <x:c r="L252" s="82"/>
    </x:row>
    <x:row r="253">
      <x:c r="A253" s="81"/>
      <x:c r="B253" s="82"/>
      <x:c r="C253" s="82"/>
      <x:c r="D253" s="82"/>
      <x:c r="E253" s="82"/>
      <x:c r="F253" s="82"/>
      <x:c r="G253" s="82"/>
      <x:c r="H253" s="82"/>
      <x:c r="I253" s="82"/>
      <x:c r="J253" s="82"/>
      <x:c r="K253" s="82"/>
      <x:c r="L253" s="82"/>
    </x:row>
    <x:row r="254">
      <x:c r="A254" s="81"/>
      <x:c r="B254" s="82"/>
      <x:c r="C254" s="82"/>
      <x:c r="D254" s="82"/>
      <x:c r="E254" s="82"/>
      <x:c r="F254" s="82"/>
      <x:c r="G254" s="82"/>
      <x:c r="H254" s="82"/>
      <x:c r="I254" s="82"/>
      <x:c r="J254" s="82"/>
      <x:c r="K254" s="82"/>
      <x:c r="L254" s="82"/>
    </x:row>
    <x:row r="255">
      <x:c r="A255" s="81"/>
      <x:c r="B255" s="82"/>
      <x:c r="C255" s="82"/>
      <x:c r="D255" s="82"/>
      <x:c r="E255" s="82"/>
      <x:c r="F255" s="82"/>
      <x:c r="G255" s="82"/>
      <x:c r="H255" s="82"/>
      <x:c r="I255" s="82"/>
      <x:c r="J255" s="82"/>
      <x:c r="K255" s="82"/>
      <x:c r="L255" s="82"/>
    </x:row>
    <x:row r="256">
      <x:c r="A256" s="81"/>
      <x:c r="B256" s="82"/>
      <x:c r="C256" s="82"/>
      <x:c r="D256" s="82"/>
      <x:c r="E256" s="82"/>
      <x:c r="F256" s="82"/>
      <x:c r="G256" s="82"/>
      <x:c r="H256" s="82"/>
      <x:c r="I256" s="82"/>
      <x:c r="J256" s="82"/>
      <x:c r="K256" s="82"/>
      <x:c r="L256" s="82"/>
    </x:row>
    <x:row r="257">
      <x:c r="A257" s="81"/>
      <x:c r="B257" s="82"/>
      <x:c r="C257" s="82"/>
      <x:c r="D257" s="82"/>
      <x:c r="E257" s="82"/>
      <x:c r="F257" s="82"/>
      <x:c r="G257" s="82"/>
      <x:c r="H257" s="82"/>
      <x:c r="I257" s="82"/>
      <x:c r="J257" s="82"/>
      <x:c r="K257" s="82"/>
      <x:c r="L257" s="82"/>
    </x:row>
    <x:row r="258">
      <x:c r="A258" s="81"/>
      <x:c r="B258" s="82"/>
      <x:c r="C258" s="82"/>
      <x:c r="D258" s="82"/>
      <x:c r="E258" s="82"/>
      <x:c r="F258" s="82"/>
      <x:c r="G258" s="82"/>
      <x:c r="H258" s="82"/>
      <x:c r="I258" s="82"/>
      <x:c r="J258" s="82"/>
      <x:c r="K258" s="82"/>
      <x:c r="L258" s="82"/>
    </x:row>
    <x:row r="259">
      <x:c r="A259" s="81"/>
      <x:c r="B259" s="82"/>
      <x:c r="C259" s="82"/>
      <x:c r="D259" s="82"/>
      <x:c r="E259" s="82"/>
      <x:c r="F259" s="82"/>
      <x:c r="G259" s="82"/>
      <x:c r="H259" s="82"/>
      <x:c r="I259" s="82"/>
      <x:c r="J259" s="82"/>
      <x:c r="K259" s="82"/>
      <x:c r="L259" s="82"/>
    </x:row>
    <x:row r="260">
      <x:c r="A260" s="81"/>
      <x:c r="B260" s="82"/>
      <x:c r="C260" s="82"/>
      <x:c r="D260" s="82"/>
      <x:c r="E260" s="82"/>
      <x:c r="F260" s="82"/>
      <x:c r="G260" s="82"/>
      <x:c r="H260" s="82"/>
      <x:c r="I260" s="82"/>
      <x:c r="J260" s="82"/>
      <x:c r="K260" s="82"/>
      <x:c r="L260" s="82"/>
    </x:row>
    <x:row r="261">
      <x:c r="A261" s="81"/>
      <x:c r="B261" s="82"/>
      <x:c r="C261" s="82"/>
      <x:c r="D261" s="82"/>
      <x:c r="E261" s="82"/>
      <x:c r="F261" s="82"/>
      <x:c r="G261" s="82"/>
      <x:c r="H261" s="82"/>
      <x:c r="I261" s="82"/>
      <x:c r="J261" s="82"/>
      <x:c r="K261" s="82"/>
      <x:c r="L261" s="82"/>
    </x:row>
    <x:row r="262">
      <x:c r="A262" s="81"/>
      <x:c r="B262" s="82"/>
      <x:c r="C262" s="82"/>
      <x:c r="D262" s="82"/>
      <x:c r="E262" s="82"/>
      <x:c r="F262" s="82"/>
      <x:c r="G262" s="82"/>
      <x:c r="H262" s="82"/>
      <x:c r="I262" s="82"/>
      <x:c r="J262" s="82"/>
      <x:c r="K262" s="82"/>
      <x:c r="L262" s="82"/>
    </x:row>
    <x:row r="263">
      <x:c r="A263" s="81"/>
      <x:c r="B263" s="82"/>
      <x:c r="C263" s="82"/>
      <x:c r="D263" s="82"/>
      <x:c r="E263" s="82"/>
      <x:c r="F263" s="82"/>
      <x:c r="G263" s="82"/>
      <x:c r="H263" s="82"/>
      <x:c r="I263" s="82"/>
      <x:c r="J263" s="82"/>
      <x:c r="K263" s="82"/>
      <x:c r="L263" s="82"/>
    </x:row>
    <x:row r="264">
      <x:c r="A264" s="81"/>
      <x:c r="B264" s="82"/>
      <x:c r="C264" s="82"/>
      <x:c r="D264" s="82"/>
      <x:c r="E264" s="82"/>
      <x:c r="F264" s="82"/>
      <x:c r="G264" s="82"/>
      <x:c r="H264" s="82"/>
      <x:c r="I264" s="82"/>
      <x:c r="J264" s="82"/>
      <x:c r="K264" s="82"/>
      <x:c r="L264" s="82"/>
    </x:row>
    <x:row r="265">
      <x:c r="A265" s="81"/>
      <x:c r="B265" s="82"/>
      <x:c r="C265" s="82"/>
      <x:c r="D265" s="82"/>
      <x:c r="E265" s="82"/>
      <x:c r="F265" s="82"/>
      <x:c r="G265" s="82"/>
      <x:c r="H265" s="82"/>
      <x:c r="I265" s="82"/>
      <x:c r="J265" s="82"/>
      <x:c r="K265" s="82"/>
      <x:c r="L265" s="82"/>
    </x:row>
    <x:row r="266">
      <x:c r="A266" s="81"/>
      <x:c r="B266" s="82"/>
      <x:c r="C266" s="82"/>
      <x:c r="D266" s="82"/>
      <x:c r="E266" s="82"/>
      <x:c r="F266" s="82"/>
      <x:c r="G266" s="82"/>
      <x:c r="H266" s="82"/>
      <x:c r="I266" s="82"/>
      <x:c r="J266" s="82"/>
      <x:c r="K266" s="82"/>
      <x:c r="L266" s="82"/>
    </x:row>
    <x:row r="267">
      <x:c r="A267" s="81"/>
      <x:c r="B267" s="82"/>
      <x:c r="C267" s="82"/>
      <x:c r="D267" s="82"/>
      <x:c r="E267" s="82"/>
      <x:c r="F267" s="82"/>
      <x:c r="G267" s="82"/>
      <x:c r="H267" s="82"/>
      <x:c r="I267" s="82"/>
      <x:c r="J267" s="82"/>
      <x:c r="K267" s="82"/>
      <x:c r="L267" s="82"/>
    </x:row>
    <x:row r="268">
      <x:c r="A268" s="81"/>
      <x:c r="B268" s="82"/>
      <x:c r="C268" s="82"/>
      <x:c r="D268" s="82"/>
      <x:c r="E268" s="82"/>
      <x:c r="F268" s="82"/>
      <x:c r="G268" s="82"/>
      <x:c r="H268" s="82"/>
      <x:c r="I268" s="82"/>
      <x:c r="J268" s="82"/>
      <x:c r="K268" s="82"/>
      <x:c r="L268" s="82"/>
    </x:row>
    <x:row r="269">
      <x:c r="A269" s="81"/>
      <x:c r="B269" s="82"/>
      <x:c r="C269" s="82"/>
      <x:c r="D269" s="82"/>
      <x:c r="E269" s="82"/>
      <x:c r="F269" s="82"/>
      <x:c r="G269" s="82"/>
      <x:c r="H269" s="82"/>
      <x:c r="I269" s="82"/>
      <x:c r="J269" s="82"/>
      <x:c r="K269" s="82"/>
      <x:c r="L269" s="82"/>
    </x:row>
    <x:row r="270">
      <x:c r="A270" s="81"/>
      <x:c r="B270" s="82"/>
      <x:c r="C270" s="82"/>
      <x:c r="D270" s="82"/>
      <x:c r="E270" s="82"/>
      <x:c r="F270" s="82"/>
      <x:c r="G270" s="82"/>
      <x:c r="H270" s="82"/>
      <x:c r="I270" s="82"/>
      <x:c r="J270" s="82"/>
      <x:c r="K270" s="82"/>
      <x:c r="L270" s="82"/>
    </x:row>
    <x:row r="271">
      <x:c r="A271" s="81"/>
      <x:c r="B271" s="82"/>
      <x:c r="C271" s="82"/>
      <x:c r="D271" s="82"/>
      <x:c r="E271" s="82"/>
      <x:c r="F271" s="82"/>
      <x:c r="G271" s="82"/>
      <x:c r="H271" s="82"/>
      <x:c r="I271" s="82"/>
      <x:c r="J271" s="82"/>
      <x:c r="K271" s="82"/>
      <x:c r="L271" s="82"/>
    </x:row>
    <x:row r="272">
      <x:c r="A272" s="81"/>
      <x:c r="B272" s="82"/>
      <x:c r="C272" s="82"/>
      <x:c r="D272" s="82"/>
      <x:c r="E272" s="82"/>
      <x:c r="F272" s="82"/>
      <x:c r="G272" s="82"/>
      <x:c r="H272" s="82"/>
      <x:c r="I272" s="82"/>
      <x:c r="J272" s="82"/>
      <x:c r="K272" s="82"/>
      <x:c r="L272" s="82"/>
    </x:row>
    <x:row r="273">
      <x:c r="A273" s="81"/>
      <x:c r="B273" s="82"/>
      <x:c r="C273" s="82"/>
      <x:c r="D273" s="82"/>
      <x:c r="E273" s="82"/>
      <x:c r="F273" s="82"/>
      <x:c r="G273" s="82"/>
      <x:c r="H273" s="82"/>
      <x:c r="I273" s="82"/>
      <x:c r="J273" s="82"/>
      <x:c r="K273" s="82"/>
      <x:c r="L273" s="82"/>
    </x:row>
    <x:row r="274">
      <x:c r="A274" s="81"/>
      <x:c r="B274" s="82"/>
      <x:c r="C274" s="82"/>
      <x:c r="D274" s="82"/>
      <x:c r="E274" s="82"/>
      <x:c r="F274" s="82"/>
      <x:c r="G274" s="82"/>
      <x:c r="H274" s="82"/>
      <x:c r="I274" s="82"/>
      <x:c r="J274" s="82"/>
      <x:c r="K274" s="82"/>
      <x:c r="L274" s="82"/>
    </x:row>
    <x:row r="275">
      <x:c r="A275" s="81"/>
      <x:c r="B275" s="82"/>
      <x:c r="C275" s="82"/>
      <x:c r="D275" s="82"/>
      <x:c r="E275" s="82"/>
      <x:c r="F275" s="82"/>
      <x:c r="G275" s="82"/>
      <x:c r="H275" s="82"/>
      <x:c r="I275" s="82"/>
      <x:c r="J275" s="82"/>
      <x:c r="K275" s="82"/>
      <x:c r="L275" s="82"/>
    </x:row>
    <x:row r="276">
      <x:c r="A276" s="81"/>
      <x:c r="B276" s="82"/>
      <x:c r="C276" s="82"/>
      <x:c r="D276" s="82"/>
      <x:c r="E276" s="82"/>
      <x:c r="F276" s="82"/>
      <x:c r="G276" s="82"/>
      <x:c r="H276" s="82"/>
      <x:c r="I276" s="82"/>
      <x:c r="J276" s="82"/>
      <x:c r="K276" s="82"/>
      <x:c r="L276" s="82"/>
    </x:row>
    <x:row r="277">
      <x:c r="A277" s="81"/>
      <x:c r="B277" s="82"/>
      <x:c r="C277" s="82"/>
      <x:c r="D277" s="82"/>
      <x:c r="E277" s="82"/>
      <x:c r="F277" s="82"/>
      <x:c r="G277" s="82"/>
      <x:c r="H277" s="82"/>
      <x:c r="I277" s="82"/>
      <x:c r="J277" s="82"/>
      <x:c r="K277" s="82"/>
      <x:c r="L277" s="82"/>
    </x:row>
    <x:row r="278">
      <x:c r="A278" s="81"/>
      <x:c r="B278" s="82"/>
      <x:c r="C278" s="82"/>
      <x:c r="D278" s="82"/>
      <x:c r="E278" s="82"/>
      <x:c r="F278" s="82"/>
      <x:c r="G278" s="82"/>
      <x:c r="H278" s="82"/>
      <x:c r="I278" s="82"/>
      <x:c r="J278" s="82"/>
      <x:c r="K278" s="82"/>
      <x:c r="L278" s="82"/>
    </x:row>
    <x:row r="279">
      <x:c r="A279" s="81"/>
      <x:c r="B279" s="82"/>
      <x:c r="C279" s="82"/>
      <x:c r="D279" s="82"/>
      <x:c r="E279" s="82"/>
      <x:c r="F279" s="82"/>
      <x:c r="G279" s="82"/>
      <x:c r="H279" s="82"/>
      <x:c r="I279" s="82"/>
      <x:c r="J279" s="82"/>
      <x:c r="K279" s="82"/>
      <x:c r="L279" s="82"/>
    </x:row>
    <x:row r="280">
      <x:c r="A280" s="81"/>
      <x:c r="B280" s="82"/>
      <x:c r="C280" s="82"/>
      <x:c r="D280" s="82"/>
      <x:c r="E280" s="82"/>
      <x:c r="F280" s="82"/>
      <x:c r="G280" s="82"/>
      <x:c r="H280" s="82"/>
      <x:c r="I280" s="82"/>
      <x:c r="J280" s="82"/>
      <x:c r="K280" s="82"/>
      <x:c r="L280" s="82"/>
    </x:row>
    <x:row r="281">
      <x:c r="A281" s="81"/>
      <x:c r="B281" s="82"/>
      <x:c r="C281" s="82"/>
      <x:c r="D281" s="82"/>
      <x:c r="E281" s="82"/>
      <x:c r="F281" s="82"/>
      <x:c r="G281" s="82"/>
      <x:c r="H281" s="82"/>
      <x:c r="I281" s="82"/>
      <x:c r="J281" s="82"/>
      <x:c r="K281" s="82"/>
      <x:c r="L281" s="82"/>
    </x:row>
    <x:row r="282">
      <x:c r="A282" s="81"/>
      <x:c r="B282" s="82"/>
      <x:c r="C282" s="82"/>
      <x:c r="D282" s="82"/>
      <x:c r="E282" s="82"/>
      <x:c r="F282" s="82"/>
      <x:c r="G282" s="82"/>
      <x:c r="H282" s="82"/>
      <x:c r="I282" s="82"/>
      <x:c r="J282" s="82"/>
      <x:c r="K282" s="82"/>
      <x:c r="L282" s="82"/>
    </x:row>
    <x:row r="283">
      <x:c r="A283" s="81"/>
      <x:c r="B283" s="82"/>
      <x:c r="C283" s="82"/>
      <x:c r="D283" s="82"/>
      <x:c r="E283" s="82"/>
      <x:c r="F283" s="82"/>
      <x:c r="G283" s="82"/>
      <x:c r="H283" s="82"/>
      <x:c r="I283" s="82"/>
      <x:c r="J283" s="82"/>
      <x:c r="K283" s="82"/>
      <x:c r="L283" s="82"/>
    </x:row>
    <x:row r="284">
      <x:c r="A284" s="81"/>
      <x:c r="B284" s="82"/>
      <x:c r="C284" s="82"/>
      <x:c r="D284" s="82"/>
      <x:c r="E284" s="82"/>
      <x:c r="F284" s="82"/>
      <x:c r="G284" s="82"/>
      <x:c r="H284" s="82"/>
      <x:c r="I284" s="82"/>
      <x:c r="J284" s="82"/>
      <x:c r="K284" s="82"/>
      <x:c r="L284" s="82"/>
    </x:row>
    <x:row r="285">
      <x:c r="A285" s="81"/>
      <x:c r="B285" s="82"/>
      <x:c r="C285" s="82"/>
      <x:c r="D285" s="82"/>
      <x:c r="E285" s="82"/>
      <x:c r="F285" s="82"/>
      <x:c r="G285" s="82"/>
      <x:c r="H285" s="82"/>
      <x:c r="I285" s="82"/>
      <x:c r="J285" s="82"/>
      <x:c r="K285" s="82"/>
      <x:c r="L285" s="82"/>
    </x:row>
    <x:row r="286">
      <x:c r="A286" s="81"/>
      <x:c r="B286" s="82"/>
      <x:c r="C286" s="82"/>
      <x:c r="D286" s="82"/>
      <x:c r="E286" s="82"/>
      <x:c r="F286" s="82"/>
      <x:c r="G286" s="82"/>
      <x:c r="H286" s="82"/>
      <x:c r="I286" s="82"/>
      <x:c r="J286" s="82"/>
      <x:c r="K286" s="82"/>
      <x:c r="L286" s="82"/>
    </x:row>
    <x:row r="287">
      <x:c r="A287" s="81"/>
      <x:c r="B287" s="82"/>
      <x:c r="C287" s="82"/>
      <x:c r="D287" s="82"/>
      <x:c r="E287" s="82"/>
      <x:c r="F287" s="82"/>
      <x:c r="G287" s="82"/>
      <x:c r="H287" s="82"/>
      <x:c r="I287" s="82"/>
      <x:c r="J287" s="82"/>
      <x:c r="K287" s="82"/>
      <x:c r="L287" s="82"/>
    </x:row>
    <x:row r="288">
      <x:c r="A288" s="81"/>
      <x:c r="B288" s="82"/>
      <x:c r="C288" s="82"/>
      <x:c r="D288" s="82"/>
      <x:c r="E288" s="82"/>
      <x:c r="F288" s="82"/>
      <x:c r="G288" s="82"/>
      <x:c r="H288" s="82"/>
      <x:c r="I288" s="82"/>
      <x:c r="J288" s="82"/>
      <x:c r="K288" s="82"/>
      <x:c r="L288" s="82"/>
    </x:row>
    <x:row r="289">
      <x:c r="A289" s="81"/>
      <x:c r="B289" s="82"/>
      <x:c r="C289" s="82"/>
      <x:c r="D289" s="82"/>
      <x:c r="E289" s="82"/>
      <x:c r="F289" s="82"/>
      <x:c r="G289" s="82"/>
      <x:c r="H289" s="82"/>
      <x:c r="I289" s="82"/>
      <x:c r="J289" s="82"/>
      <x:c r="K289" s="82"/>
      <x:c r="L289" s="82"/>
    </x:row>
    <x:row r="290">
      <x:c r="A290" s="81"/>
      <x:c r="B290" s="82"/>
      <x:c r="C290" s="82"/>
      <x:c r="D290" s="82"/>
      <x:c r="E290" s="82"/>
      <x:c r="F290" s="82"/>
      <x:c r="G290" s="82"/>
      <x:c r="H290" s="82"/>
      <x:c r="I290" s="82"/>
      <x:c r="J290" s="82"/>
      <x:c r="K290" s="82"/>
      <x:c r="L290" s="82"/>
    </x:row>
    <x:row r="291">
      <x:c r="A291" s="81"/>
      <x:c r="B291" s="82"/>
      <x:c r="C291" s="82"/>
      <x:c r="D291" s="82"/>
      <x:c r="E291" s="82"/>
      <x:c r="F291" s="82"/>
      <x:c r="G291" s="82"/>
      <x:c r="H291" s="82"/>
      <x:c r="I291" s="82"/>
      <x:c r="J291" s="82"/>
      <x:c r="K291" s="82"/>
      <x:c r="L291" s="82"/>
    </x:row>
    <x:row r="292">
      <x:c r="A292" s="81"/>
      <x:c r="B292" s="82"/>
      <x:c r="C292" s="82"/>
      <x:c r="D292" s="82"/>
      <x:c r="E292" s="82"/>
      <x:c r="F292" s="82"/>
      <x:c r="G292" s="82"/>
      <x:c r="H292" s="82"/>
      <x:c r="I292" s="82"/>
      <x:c r="J292" s="82"/>
      <x:c r="K292" s="82"/>
      <x:c r="L292" s="82"/>
    </x:row>
    <x:row r="293">
      <x:c r="A293" s="81"/>
      <x:c r="B293" s="82"/>
      <x:c r="C293" s="82"/>
      <x:c r="D293" s="82"/>
      <x:c r="E293" s="82"/>
      <x:c r="F293" s="82"/>
      <x:c r="G293" s="82"/>
      <x:c r="H293" s="82"/>
      <x:c r="I293" s="82"/>
      <x:c r="J293" s="82"/>
      <x:c r="K293" s="82"/>
      <x:c r="L293" s="82"/>
    </x:row>
    <x:row r="294">
      <x:c r="A294" s="81"/>
      <x:c r="B294" s="82"/>
      <x:c r="C294" s="82"/>
      <x:c r="D294" s="82"/>
      <x:c r="E294" s="82"/>
      <x:c r="F294" s="82"/>
      <x:c r="G294" s="82"/>
      <x:c r="H294" s="82"/>
      <x:c r="I294" s="82"/>
      <x:c r="J294" s="82"/>
      <x:c r="K294" s="82"/>
      <x:c r="L294" s="82"/>
    </x:row>
    <x:row r="295">
      <x:c r="A295" s="81"/>
      <x:c r="B295" s="82"/>
      <x:c r="C295" s="82"/>
      <x:c r="D295" s="82"/>
      <x:c r="E295" s="82"/>
      <x:c r="F295" s="82"/>
      <x:c r="G295" s="82"/>
      <x:c r="H295" s="82"/>
      <x:c r="I295" s="82"/>
      <x:c r="J295" s="82"/>
      <x:c r="K295" s="82"/>
      <x:c r="L295" s="82"/>
    </x:row>
    <x:row r="296">
      <x:c r="A296" s="81"/>
      <x:c r="B296" s="82"/>
      <x:c r="C296" s="82"/>
      <x:c r="D296" s="82"/>
      <x:c r="E296" s="82"/>
      <x:c r="F296" s="82"/>
      <x:c r="G296" s="82"/>
      <x:c r="H296" s="82"/>
      <x:c r="I296" s="82"/>
      <x:c r="J296" s="82"/>
      <x:c r="K296" s="82"/>
      <x:c r="L296" s="82"/>
    </x:row>
    <x:row r="297">
      <x:c r="A297" s="81"/>
      <x:c r="B297" s="82"/>
      <x:c r="C297" s="82"/>
      <x:c r="D297" s="82"/>
      <x:c r="E297" s="82"/>
      <x:c r="F297" s="82"/>
      <x:c r="G297" s="82"/>
      <x:c r="H297" s="82"/>
      <x:c r="I297" s="82"/>
      <x:c r="J297" s="82"/>
      <x:c r="K297" s="82"/>
      <x:c r="L297" s="82"/>
    </x:row>
    <x:row r="298">
      <x:c r="A298" s="81"/>
      <x:c r="B298" s="82"/>
      <x:c r="C298" s="82"/>
      <x:c r="D298" s="82"/>
      <x:c r="E298" s="82"/>
      <x:c r="F298" s="82"/>
      <x:c r="G298" s="82"/>
      <x:c r="H298" s="82"/>
      <x:c r="I298" s="82"/>
      <x:c r="J298" s="82"/>
      <x:c r="K298" s="82"/>
      <x:c r="L298" s="82"/>
    </x:row>
    <x:row r="299">
      <x:c r="A299" s="81"/>
      <x:c r="B299" s="82"/>
      <x:c r="C299" s="82"/>
      <x:c r="D299" s="82"/>
      <x:c r="E299" s="82"/>
      <x:c r="F299" s="82"/>
      <x:c r="G299" s="82"/>
      <x:c r="H299" s="82"/>
      <x:c r="I299" s="82"/>
      <x:c r="J299" s="82"/>
      <x:c r="K299" s="82"/>
      <x:c r="L299" s="82"/>
    </x:row>
    <x:row r="300">
      <x:c r="A300" s="81"/>
      <x:c r="B300" s="82"/>
      <x:c r="C300" s="82"/>
      <x:c r="D300" s="82"/>
      <x:c r="E300" s="82"/>
      <x:c r="F300" s="82"/>
      <x:c r="G300" s="82"/>
      <x:c r="H300" s="82"/>
      <x:c r="I300" s="82"/>
      <x:c r="J300" s="82"/>
      <x:c r="K300" s="82"/>
      <x:c r="L300" s="82"/>
    </x:row>
    <x:row r="301">
      <x:c r="A301" s="81"/>
      <x:c r="B301" s="82"/>
      <x:c r="C301" s="82"/>
      <x:c r="D301" s="82"/>
      <x:c r="E301" s="82"/>
      <x:c r="F301" s="82"/>
      <x:c r="G301" s="82"/>
      <x:c r="H301" s="82"/>
      <x:c r="I301" s="82"/>
      <x:c r="J301" s="82"/>
      <x:c r="K301" s="82"/>
      <x:c r="L301" s="82"/>
    </x:row>
    <x:row r="302">
      <x:c r="A302" s="81"/>
      <x:c r="B302" s="82"/>
      <x:c r="C302" s="82"/>
      <x:c r="D302" s="82"/>
      <x:c r="E302" s="82"/>
      <x:c r="F302" s="82"/>
      <x:c r="G302" s="82"/>
      <x:c r="H302" s="82"/>
      <x:c r="I302" s="82"/>
      <x:c r="J302" s="82"/>
      <x:c r="K302" s="82"/>
      <x:c r="L302" s="82"/>
    </x:row>
    <x:row r="303">
      <x:c r="A303" s="81"/>
      <x:c r="B303" s="82"/>
      <x:c r="C303" s="82"/>
      <x:c r="D303" s="82"/>
      <x:c r="E303" s="82"/>
      <x:c r="F303" s="82"/>
      <x:c r="G303" s="82"/>
      <x:c r="H303" s="82"/>
      <x:c r="I303" s="82"/>
      <x:c r="J303" s="82"/>
      <x:c r="K303" s="82"/>
      <x:c r="L303" s="82"/>
    </x:row>
    <x:row r="304">
      <x:c r="A304" s="81"/>
      <x:c r="B304" s="82"/>
      <x:c r="C304" s="82"/>
      <x:c r="D304" s="82"/>
      <x:c r="E304" s="82"/>
      <x:c r="F304" s="82"/>
      <x:c r="G304" s="82"/>
      <x:c r="H304" s="82"/>
      <x:c r="I304" s="82"/>
      <x:c r="J304" s="82"/>
      <x:c r="K304" s="82"/>
      <x:c r="L304" s="82"/>
    </x:row>
    <x:row r="305">
      <x:c r="A305" s="81"/>
      <x:c r="B305" s="82"/>
      <x:c r="C305" s="82"/>
      <x:c r="D305" s="82"/>
      <x:c r="E305" s="82"/>
      <x:c r="F305" s="82"/>
      <x:c r="G305" s="82"/>
      <x:c r="H305" s="82"/>
      <x:c r="I305" s="82"/>
      <x:c r="J305" s="82"/>
      <x:c r="K305" s="82"/>
      <x:c r="L305" s="82"/>
    </x:row>
    <x:row r="306">
      <x:c r="A306" s="81"/>
      <x:c r="B306" s="82"/>
      <x:c r="C306" s="82"/>
      <x:c r="D306" s="82"/>
      <x:c r="E306" s="82"/>
      <x:c r="F306" s="82"/>
      <x:c r="G306" s="82"/>
      <x:c r="H306" s="82"/>
      <x:c r="I306" s="82"/>
      <x:c r="J306" s="82"/>
      <x:c r="K306" s="82"/>
      <x:c r="L306" s="82"/>
    </x:row>
    <x:row r="307">
      <x:c r="A307" s="81"/>
      <x:c r="B307" s="82"/>
      <x:c r="C307" s="82"/>
      <x:c r="D307" s="82"/>
      <x:c r="E307" s="82"/>
      <x:c r="F307" s="82"/>
      <x:c r="G307" s="82"/>
      <x:c r="H307" s="82"/>
      <x:c r="I307" s="82"/>
      <x:c r="J307" s="82"/>
      <x:c r="K307" s="82"/>
      <x:c r="L307" s="82"/>
    </x:row>
    <x:row r="308">
      <x:c r="A308" s="81"/>
      <x:c r="B308" s="82"/>
      <x:c r="C308" s="82"/>
      <x:c r="D308" s="82"/>
      <x:c r="E308" s="82"/>
      <x:c r="F308" s="82"/>
      <x:c r="G308" s="82"/>
      <x:c r="H308" s="82"/>
      <x:c r="I308" s="82"/>
      <x:c r="J308" s="82"/>
      <x:c r="K308" s="82"/>
      <x:c r="L308" s="82"/>
    </x:row>
    <x:row r="309">
      <x:c r="A309" s="81"/>
      <x:c r="B309" s="82"/>
      <x:c r="C309" s="82"/>
      <x:c r="D309" s="82"/>
      <x:c r="E309" s="82"/>
      <x:c r="F309" s="82"/>
      <x:c r="G309" s="82"/>
      <x:c r="H309" s="82"/>
      <x:c r="I309" s="82"/>
      <x:c r="J309" s="82"/>
      <x:c r="K309" s="82"/>
      <x:c r="L309" s="82"/>
    </x:row>
    <x:row r="310">
      <x:c r="A310" s="81"/>
      <x:c r="B310" s="82"/>
      <x:c r="C310" s="82"/>
      <x:c r="D310" s="82"/>
      <x:c r="E310" s="82"/>
      <x:c r="F310" s="82"/>
      <x:c r="G310" s="82"/>
      <x:c r="H310" s="82"/>
      <x:c r="I310" s="82"/>
      <x:c r="J310" s="82"/>
      <x:c r="K310" s="82"/>
      <x:c r="L310" s="82"/>
    </x:row>
    <x:row r="311">
      <x:c r="A311" s="81"/>
      <x:c r="B311" s="82"/>
      <x:c r="C311" s="82"/>
      <x:c r="D311" s="82"/>
      <x:c r="E311" s="82"/>
      <x:c r="F311" s="82"/>
      <x:c r="G311" s="82"/>
      <x:c r="H311" s="82"/>
      <x:c r="I311" s="82"/>
      <x:c r="J311" s="82"/>
      <x:c r="K311" s="82"/>
      <x:c r="L311" s="82"/>
    </x:row>
    <x:row r="312">
      <x:c r="A312" s="81"/>
      <x:c r="B312" s="82"/>
      <x:c r="C312" s="82"/>
      <x:c r="D312" s="82"/>
      <x:c r="E312" s="82"/>
      <x:c r="F312" s="82"/>
      <x:c r="G312" s="82"/>
      <x:c r="H312" s="82"/>
      <x:c r="I312" s="82"/>
      <x:c r="J312" s="82"/>
      <x:c r="K312" s="82"/>
      <x:c r="L312" s="82"/>
    </x:row>
    <x:row r="313">
      <x:c r="A313" s="81"/>
      <x:c r="B313" s="82"/>
      <x:c r="C313" s="82"/>
      <x:c r="D313" s="82"/>
      <x:c r="E313" s="82"/>
      <x:c r="F313" s="82"/>
      <x:c r="G313" s="82"/>
      <x:c r="H313" s="82"/>
      <x:c r="I313" s="82"/>
      <x:c r="J313" s="82"/>
      <x:c r="K313" s="82"/>
      <x:c r="L313" s="82"/>
    </x:row>
    <x:row r="314">
      <x:c r="A314" s="81"/>
      <x:c r="B314" s="82"/>
      <x:c r="C314" s="82"/>
      <x:c r="D314" s="82"/>
      <x:c r="E314" s="82"/>
      <x:c r="F314" s="82"/>
      <x:c r="G314" s="82"/>
      <x:c r="H314" s="82"/>
      <x:c r="I314" s="82"/>
      <x:c r="J314" s="82"/>
      <x:c r="K314" s="82"/>
      <x:c r="L314" s="82"/>
    </x:row>
    <x:row r="315">
      <x:c r="A315" s="81"/>
      <x:c r="B315" s="82"/>
      <x:c r="C315" s="82"/>
      <x:c r="D315" s="82"/>
      <x:c r="E315" s="82"/>
      <x:c r="F315" s="82"/>
      <x:c r="G315" s="82"/>
      <x:c r="H315" s="82"/>
      <x:c r="I315" s="82"/>
      <x:c r="J315" s="82"/>
      <x:c r="K315" s="82"/>
      <x:c r="L315" s="82"/>
    </x:row>
    <x:row r="316">
      <x:c r="A316" s="81"/>
      <x:c r="B316" s="82"/>
      <x:c r="C316" s="82"/>
      <x:c r="D316" s="82"/>
      <x:c r="E316" s="82"/>
      <x:c r="F316" s="82"/>
      <x:c r="G316" s="82"/>
      <x:c r="H316" s="82"/>
      <x:c r="I316" s="82"/>
      <x:c r="J316" s="82"/>
      <x:c r="K316" s="82"/>
      <x:c r="L316" s="82"/>
    </x:row>
    <x:row r="317">
      <x:c r="A317" s="81"/>
      <x:c r="B317" s="82"/>
      <x:c r="C317" s="82"/>
      <x:c r="D317" s="82"/>
      <x:c r="E317" s="82"/>
      <x:c r="F317" s="82"/>
      <x:c r="G317" s="82"/>
      <x:c r="H317" s="82"/>
      <x:c r="I317" s="82"/>
      <x:c r="J317" s="82"/>
      <x:c r="K317" s="82"/>
      <x:c r="L317" s="82"/>
    </x:row>
    <x:row r="318">
      <x:c r="A318" s="81"/>
      <x:c r="B318" s="82"/>
      <x:c r="C318" s="82"/>
      <x:c r="D318" s="82"/>
      <x:c r="E318" s="82"/>
      <x:c r="F318" s="82"/>
      <x:c r="G318" s="82"/>
      <x:c r="H318" s="82"/>
      <x:c r="I318" s="82"/>
      <x:c r="J318" s="82"/>
      <x:c r="K318" s="82"/>
      <x:c r="L318" s="82"/>
    </x:row>
    <x:row r="319">
      <x:c r="A319" s="81"/>
      <x:c r="B319" s="82"/>
      <x:c r="C319" s="82"/>
      <x:c r="D319" s="82"/>
      <x:c r="E319" s="82"/>
      <x:c r="F319" s="82"/>
      <x:c r="G319" s="82"/>
      <x:c r="H319" s="82"/>
      <x:c r="I319" s="82"/>
      <x:c r="J319" s="82"/>
      <x:c r="K319" s="82"/>
      <x:c r="L319" s="82"/>
    </x:row>
    <x:row r="320">
      <x:c r="A320" s="81"/>
      <x:c r="B320" s="82"/>
      <x:c r="C320" s="82"/>
      <x:c r="D320" s="82"/>
      <x:c r="E320" s="82"/>
      <x:c r="F320" s="82"/>
      <x:c r="G320" s="82"/>
      <x:c r="H320" s="82"/>
      <x:c r="I320" s="82"/>
      <x:c r="J320" s="82"/>
      <x:c r="K320" s="82"/>
      <x:c r="L320" s="82"/>
    </x:row>
    <x:row r="321">
      <x:c r="A321" s="81"/>
      <x:c r="B321" s="82"/>
      <x:c r="C321" s="82"/>
      <x:c r="D321" s="82"/>
      <x:c r="E321" s="82"/>
      <x:c r="F321" s="82"/>
      <x:c r="G321" s="82"/>
      <x:c r="H321" s="82"/>
      <x:c r="I321" s="82"/>
      <x:c r="J321" s="82"/>
      <x:c r="K321" s="82"/>
      <x:c r="L321" s="82"/>
    </x:row>
    <x:row r="322">
      <x:c r="A322" s="81"/>
      <x:c r="B322" s="82"/>
      <x:c r="C322" s="82"/>
      <x:c r="D322" s="82"/>
      <x:c r="E322" s="82"/>
      <x:c r="F322" s="82"/>
      <x:c r="G322" s="82"/>
      <x:c r="H322" s="82"/>
      <x:c r="I322" s="82"/>
      <x:c r="J322" s="82"/>
      <x:c r="K322" s="82"/>
      <x:c r="L322" s="82"/>
    </x:row>
    <x:row r="323">
      <x:c r="A323" s="81"/>
      <x:c r="B323" s="82"/>
      <x:c r="C323" s="82"/>
      <x:c r="D323" s="82"/>
      <x:c r="E323" s="82"/>
      <x:c r="F323" s="82"/>
      <x:c r="G323" s="82"/>
      <x:c r="H323" s="82"/>
      <x:c r="I323" s="82"/>
      <x:c r="J323" s="82"/>
      <x:c r="K323" s="82"/>
      <x:c r="L323" s="82"/>
    </x:row>
    <x:row r="324">
      <x:c r="A324" s="81"/>
      <x:c r="B324" s="82"/>
      <x:c r="C324" s="82"/>
      <x:c r="D324" s="82"/>
      <x:c r="E324" s="82"/>
      <x:c r="F324" s="82"/>
      <x:c r="G324" s="82"/>
      <x:c r="H324" s="82"/>
      <x:c r="I324" s="82"/>
      <x:c r="J324" s="82"/>
      <x:c r="K324" s="82"/>
      <x:c r="L324" s="82"/>
    </x:row>
    <x:row r="325">
      <x:c r="A325" s="81"/>
      <x:c r="B325" s="82"/>
      <x:c r="C325" s="82"/>
      <x:c r="D325" s="82"/>
      <x:c r="E325" s="82"/>
      <x:c r="F325" s="82"/>
      <x:c r="G325" s="82"/>
      <x:c r="H325" s="82"/>
      <x:c r="I325" s="82"/>
      <x:c r="J325" s="82"/>
      <x:c r="K325" s="82"/>
      <x:c r="L325" s="82"/>
    </x:row>
    <x:row r="326">
      <x:c r="A326" s="81"/>
      <x:c r="B326" s="82"/>
      <x:c r="C326" s="82"/>
      <x:c r="D326" s="82"/>
      <x:c r="E326" s="82"/>
      <x:c r="F326" s="82"/>
      <x:c r="G326" s="82"/>
      <x:c r="H326" s="82"/>
      <x:c r="I326" s="82"/>
      <x:c r="J326" s="82"/>
      <x:c r="K326" s="82"/>
      <x:c r="L326" s="82"/>
    </x:row>
    <x:row r="327">
      <x:c r="A327" s="81"/>
      <x:c r="B327" s="82"/>
      <x:c r="C327" s="82"/>
      <x:c r="D327" s="82"/>
      <x:c r="E327" s="82"/>
      <x:c r="F327" s="82"/>
      <x:c r="G327" s="82"/>
      <x:c r="H327" s="82"/>
      <x:c r="I327" s="82"/>
      <x:c r="J327" s="82"/>
      <x:c r="K327" s="82"/>
      <x:c r="L327" s="82"/>
    </x:row>
    <x:row r="328">
      <x:c r="A328" s="81"/>
      <x:c r="B328" s="82"/>
      <x:c r="C328" s="82"/>
      <x:c r="D328" s="82"/>
      <x:c r="E328" s="82"/>
      <x:c r="F328" s="82"/>
      <x:c r="G328" s="82"/>
      <x:c r="H328" s="82"/>
      <x:c r="I328" s="82"/>
      <x:c r="J328" s="82"/>
      <x:c r="K328" s="82"/>
      <x:c r="L328" s="82"/>
    </x:row>
    <x:row r="329">
      <x:c r="A329" s="81"/>
      <x:c r="B329" s="82"/>
      <x:c r="C329" s="82"/>
      <x:c r="D329" s="82"/>
      <x:c r="E329" s="82"/>
      <x:c r="F329" s="82"/>
      <x:c r="G329" s="82"/>
      <x:c r="H329" s="82"/>
      <x:c r="I329" s="82"/>
      <x:c r="J329" s="82"/>
      <x:c r="K329" s="82"/>
      <x:c r="L329" s="82"/>
    </x:row>
    <x:row r="330">
      <x:c r="A330" s="81"/>
      <x:c r="B330" s="82"/>
      <x:c r="C330" s="82"/>
      <x:c r="D330" s="82"/>
      <x:c r="E330" s="82"/>
      <x:c r="F330" s="82"/>
      <x:c r="G330" s="82"/>
      <x:c r="H330" s="82"/>
      <x:c r="I330" s="82"/>
      <x:c r="J330" s="82"/>
      <x:c r="K330" s="82"/>
      <x:c r="L330" s="82"/>
    </x:row>
    <x:row r="331">
      <x:c r="A331" s="81"/>
      <x:c r="B331" s="82"/>
      <x:c r="C331" s="82"/>
      <x:c r="D331" s="82"/>
      <x:c r="E331" s="82"/>
      <x:c r="F331" s="82"/>
      <x:c r="G331" s="82"/>
      <x:c r="H331" s="82"/>
      <x:c r="I331" s="82"/>
      <x:c r="J331" s="82"/>
      <x:c r="K331" s="82"/>
      <x:c r="L331" s="82"/>
    </x:row>
    <x:row r="332">
      <x:c r="A332" s="81"/>
      <x:c r="B332" s="82"/>
      <x:c r="C332" s="82"/>
      <x:c r="D332" s="82"/>
      <x:c r="E332" s="82"/>
      <x:c r="F332" s="82"/>
      <x:c r="G332" s="82"/>
      <x:c r="H332" s="82"/>
      <x:c r="I332" s="82"/>
      <x:c r="J332" s="82"/>
      <x:c r="K332" s="82"/>
      <x:c r="L332" s="82"/>
    </x:row>
    <x:row r="333">
      <x:c r="A333" s="81"/>
      <x:c r="B333" s="82"/>
      <x:c r="C333" s="82"/>
      <x:c r="D333" s="82"/>
      <x:c r="E333" s="82"/>
      <x:c r="F333" s="82"/>
      <x:c r="G333" s="82"/>
      <x:c r="H333" s="82"/>
      <x:c r="I333" s="82"/>
      <x:c r="J333" s="82"/>
      <x:c r="K333" s="82"/>
      <x:c r="L333" s="82"/>
    </x:row>
    <x:row r="334">
      <x:c r="A334" s="81"/>
      <x:c r="B334" s="82"/>
      <x:c r="C334" s="82"/>
      <x:c r="D334" s="82"/>
      <x:c r="E334" s="82"/>
      <x:c r="F334" s="82"/>
      <x:c r="G334" s="82"/>
      <x:c r="H334" s="82"/>
      <x:c r="I334" s="82"/>
      <x:c r="J334" s="82"/>
      <x:c r="K334" s="82"/>
      <x:c r="L334" s="82"/>
    </x:row>
    <x:row r="335">
      <x:c r="A335" s="81"/>
      <x:c r="B335" s="82"/>
      <x:c r="C335" s="82"/>
      <x:c r="D335" s="82"/>
      <x:c r="E335" s="82"/>
      <x:c r="F335" s="82"/>
      <x:c r="G335" s="82"/>
      <x:c r="H335" s="82"/>
      <x:c r="I335" s="82"/>
      <x:c r="J335" s="82"/>
      <x:c r="K335" s="82"/>
      <x:c r="L335" s="82"/>
    </x:row>
    <x:row r="336">
      <x:c r="A336" s="81"/>
      <x:c r="B336" s="82"/>
      <x:c r="C336" s="82"/>
      <x:c r="D336" s="82"/>
      <x:c r="E336" s="82"/>
      <x:c r="F336" s="82"/>
      <x:c r="G336" s="82"/>
      <x:c r="H336" s="82"/>
      <x:c r="I336" s="82"/>
      <x:c r="J336" s="82"/>
      <x:c r="K336" s="82"/>
      <x:c r="L336" s="82"/>
    </x:row>
    <x:row r="337">
      <x:c r="A337" s="81"/>
      <x:c r="B337" s="82"/>
      <x:c r="C337" s="82"/>
      <x:c r="D337" s="82"/>
      <x:c r="E337" s="82"/>
      <x:c r="F337" s="82"/>
      <x:c r="G337" s="82"/>
      <x:c r="H337" s="82"/>
      <x:c r="I337" s="82"/>
      <x:c r="J337" s="82"/>
      <x:c r="K337" s="82"/>
      <x:c r="L337" s="82"/>
    </x:row>
    <x:row r="338">
      <x:c r="A338" s="81"/>
      <x:c r="B338" s="82"/>
      <x:c r="C338" s="82"/>
      <x:c r="D338" s="82"/>
      <x:c r="E338" s="82"/>
      <x:c r="F338" s="82"/>
      <x:c r="G338" s="82"/>
      <x:c r="H338" s="82"/>
      <x:c r="I338" s="82"/>
      <x:c r="J338" s="82"/>
      <x:c r="K338" s="82"/>
      <x:c r="L338" s="82"/>
    </x:row>
    <x:row r="339">
      <x:c r="A339" s="81"/>
      <x:c r="B339" s="82"/>
      <x:c r="C339" s="82"/>
      <x:c r="D339" s="82"/>
      <x:c r="E339" s="82"/>
      <x:c r="F339" s="82"/>
      <x:c r="G339" s="82"/>
      <x:c r="H339" s="82"/>
      <x:c r="I339" s="82"/>
      <x:c r="J339" s="82"/>
      <x:c r="K339" s="82"/>
      <x:c r="L339" s="82"/>
    </x:row>
    <x:row r="340">
      <x:c r="A340" s="81"/>
      <x:c r="B340" s="82"/>
      <x:c r="C340" s="82"/>
      <x:c r="D340" s="82"/>
      <x:c r="E340" s="82"/>
      <x:c r="F340" s="82"/>
      <x:c r="G340" s="82"/>
      <x:c r="H340" s="82"/>
      <x:c r="I340" s="82"/>
      <x:c r="J340" s="82"/>
      <x:c r="K340" s="82"/>
      <x:c r="L340" s="82"/>
    </x:row>
    <x:row r="341">
      <x:c r="A341" s="81"/>
      <x:c r="B341" s="82"/>
      <x:c r="C341" s="82"/>
      <x:c r="D341" s="82"/>
      <x:c r="E341" s="82"/>
      <x:c r="F341" s="82"/>
      <x:c r="G341" s="82"/>
      <x:c r="H341" s="82"/>
      <x:c r="I341" s="82"/>
      <x:c r="J341" s="82"/>
      <x:c r="K341" s="82"/>
      <x:c r="L341" s="82"/>
    </x:row>
    <x:row r="342">
      <x:c r="A342" s="81"/>
      <x:c r="B342" s="82"/>
      <x:c r="C342" s="82"/>
      <x:c r="D342" s="82"/>
      <x:c r="E342" s="82"/>
      <x:c r="F342" s="82"/>
      <x:c r="G342" s="82"/>
      <x:c r="H342" s="82"/>
      <x:c r="I342" s="82"/>
      <x:c r="J342" s="82"/>
      <x:c r="K342" s="82"/>
      <x:c r="L342" s="82"/>
    </x:row>
    <x:row r="343">
      <x:c r="A343" s="81"/>
      <x:c r="B343" s="82"/>
      <x:c r="C343" s="82"/>
      <x:c r="D343" s="82"/>
      <x:c r="E343" s="82"/>
      <x:c r="F343" s="82"/>
      <x:c r="G343" s="82"/>
      <x:c r="H343" s="82"/>
      <x:c r="I343" s="82"/>
      <x:c r="J343" s="82"/>
      <x:c r="K343" s="82"/>
      <x:c r="L343" s="82"/>
    </x:row>
    <x:row r="344">
      <x:c r="A344" s="81"/>
      <x:c r="B344" s="82"/>
      <x:c r="C344" s="82"/>
      <x:c r="D344" s="82"/>
      <x:c r="E344" s="82"/>
      <x:c r="F344" s="82"/>
      <x:c r="G344" s="82"/>
      <x:c r="H344" s="82"/>
      <x:c r="I344" s="82"/>
      <x:c r="J344" s="82"/>
      <x:c r="K344" s="82"/>
      <x:c r="L344" s="82"/>
    </x:row>
    <x:row r="345">
      <x:c r="A345" s="81"/>
      <x:c r="B345" s="82"/>
      <x:c r="C345" s="82"/>
      <x:c r="D345" s="82"/>
      <x:c r="E345" s="82"/>
      <x:c r="F345" s="82"/>
      <x:c r="G345" s="82"/>
      <x:c r="H345" s="82"/>
      <x:c r="I345" s="82"/>
      <x:c r="J345" s="82"/>
      <x:c r="K345" s="82"/>
      <x:c r="L345" s="82"/>
    </x:row>
    <x:row r="346">
      <x:c r="A346" s="81"/>
      <x:c r="B346" s="82"/>
      <x:c r="C346" s="82"/>
      <x:c r="D346" s="82"/>
      <x:c r="E346" s="82"/>
      <x:c r="F346" s="82"/>
      <x:c r="G346" s="82"/>
      <x:c r="H346" s="82"/>
      <x:c r="I346" s="82"/>
      <x:c r="J346" s="82"/>
      <x:c r="K346" s="82"/>
      <x:c r="L346" s="82"/>
    </x:row>
    <x:row r="347">
      <x:c r="A347" s="81"/>
      <x:c r="B347" s="82"/>
      <x:c r="C347" s="82"/>
      <x:c r="D347" s="82"/>
      <x:c r="E347" s="82"/>
      <x:c r="F347" s="82"/>
      <x:c r="G347" s="82"/>
      <x:c r="H347" s="82"/>
      <x:c r="I347" s="82"/>
      <x:c r="J347" s="82"/>
      <x:c r="K347" s="82"/>
      <x:c r="L347" s="82"/>
    </x:row>
    <x:row r="348">
      <x:c r="A348" s="81"/>
      <x:c r="B348" s="82"/>
      <x:c r="C348" s="82"/>
      <x:c r="D348" s="82"/>
      <x:c r="E348" s="82"/>
      <x:c r="F348" s="82"/>
      <x:c r="G348" s="82"/>
      <x:c r="H348" s="82"/>
      <x:c r="I348" s="82"/>
      <x:c r="J348" s="82"/>
      <x:c r="K348" s="82"/>
      <x:c r="L348" s="82"/>
    </x:row>
    <x:row r="349">
      <x:c r="A349" s="81"/>
      <x:c r="B349" s="82"/>
      <x:c r="C349" s="82"/>
      <x:c r="D349" s="82"/>
      <x:c r="E349" s="82"/>
      <x:c r="F349" s="82"/>
      <x:c r="G349" s="82"/>
      <x:c r="H349" s="82"/>
      <x:c r="I349" s="82"/>
      <x:c r="J349" s="82"/>
      <x:c r="K349" s="82"/>
      <x:c r="L349" s="82"/>
    </x:row>
    <x:row r="350">
      <x:c r="A350" s="81"/>
      <x:c r="B350" s="82"/>
      <x:c r="C350" s="82"/>
      <x:c r="D350" s="82"/>
      <x:c r="E350" s="82"/>
      <x:c r="F350" s="82"/>
      <x:c r="G350" s="82"/>
      <x:c r="H350" s="82"/>
      <x:c r="I350" s="82"/>
      <x:c r="J350" s="82"/>
      <x:c r="K350" s="82"/>
      <x:c r="L350" s="82"/>
    </x:row>
    <x:row r="351">
      <x:c r="A351" s="81"/>
      <x:c r="B351" s="82"/>
      <x:c r="C351" s="82"/>
      <x:c r="D351" s="82"/>
      <x:c r="E351" s="82"/>
      <x:c r="F351" s="82"/>
      <x:c r="G351" s="82"/>
      <x:c r="H351" s="82"/>
      <x:c r="I351" s="82"/>
      <x:c r="J351" s="82"/>
      <x:c r="K351" s="82"/>
      <x:c r="L351" s="82"/>
    </x:row>
    <x:row r="352">
      <x:c r="A352" s="81"/>
      <x:c r="B352" s="82"/>
      <x:c r="C352" s="82"/>
      <x:c r="D352" s="82"/>
      <x:c r="E352" s="82"/>
      <x:c r="F352" s="82"/>
      <x:c r="G352" s="82"/>
      <x:c r="H352" s="82"/>
      <x:c r="I352" s="82"/>
      <x:c r="J352" s="82"/>
      <x:c r="K352" s="82"/>
      <x:c r="L352" s="82"/>
    </x:row>
    <x:row r="353">
      <x:c r="A353" s="81"/>
      <x:c r="B353" s="82"/>
      <x:c r="C353" s="82"/>
      <x:c r="D353" s="82"/>
      <x:c r="E353" s="82"/>
      <x:c r="F353" s="82"/>
      <x:c r="G353" s="82"/>
      <x:c r="H353" s="82"/>
      <x:c r="I353" s="82"/>
      <x:c r="J353" s="82"/>
      <x:c r="K353" s="82"/>
      <x:c r="L353" s="82"/>
    </x:row>
    <x:row r="354">
      <x:c r="A354" s="81"/>
      <x:c r="B354" s="82"/>
      <x:c r="C354" s="82"/>
      <x:c r="D354" s="82"/>
      <x:c r="E354" s="82"/>
      <x:c r="F354" s="82"/>
      <x:c r="G354" s="82"/>
      <x:c r="H354" s="82"/>
      <x:c r="I354" s="82"/>
      <x:c r="J354" s="82"/>
      <x:c r="K354" s="82"/>
      <x:c r="L354" s="82"/>
    </x:row>
    <x:row r="355">
      <x:c r="A355" s="81"/>
      <x:c r="B355" s="82"/>
      <x:c r="C355" s="82"/>
      <x:c r="D355" s="82"/>
      <x:c r="E355" s="82"/>
      <x:c r="F355" s="82"/>
      <x:c r="G355" s="82"/>
      <x:c r="H355" s="82"/>
      <x:c r="I355" s="82"/>
      <x:c r="J355" s="82"/>
      <x:c r="K355" s="82"/>
      <x:c r="L355" s="82"/>
    </x:row>
    <x:row r="356">
      <x:c r="A356" s="81"/>
      <x:c r="B356" s="82"/>
      <x:c r="C356" s="82"/>
      <x:c r="D356" s="82"/>
      <x:c r="E356" s="82"/>
      <x:c r="F356" s="82"/>
      <x:c r="G356" s="82"/>
      <x:c r="H356" s="82"/>
      <x:c r="I356" s="82"/>
      <x:c r="J356" s="82"/>
      <x:c r="K356" s="82"/>
      <x:c r="L356" s="82"/>
    </x:row>
    <x:row r="357">
      <x:c r="A357" s="81"/>
      <x:c r="B357" s="82"/>
      <x:c r="C357" s="82"/>
      <x:c r="D357" s="82"/>
      <x:c r="E357" s="82"/>
      <x:c r="F357" s="82"/>
      <x:c r="G357" s="82"/>
      <x:c r="H357" s="82"/>
      <x:c r="I357" s="82"/>
      <x:c r="J357" s="82"/>
      <x:c r="K357" s="82"/>
      <x:c r="L357" s="82"/>
    </x:row>
    <x:row r="358">
      <x:c r="A358" s="81"/>
      <x:c r="B358" s="82"/>
      <x:c r="C358" s="82"/>
      <x:c r="D358" s="82"/>
      <x:c r="E358" s="82"/>
      <x:c r="F358" s="82"/>
      <x:c r="G358" s="82"/>
      <x:c r="H358" s="82"/>
      <x:c r="I358" s="82"/>
      <x:c r="J358" s="82"/>
      <x:c r="K358" s="82"/>
      <x:c r="L358" s="82"/>
    </x:row>
    <x:row r="359">
      <x:c r="A359" s="81"/>
      <x:c r="B359" s="82"/>
      <x:c r="C359" s="82"/>
      <x:c r="D359" s="82"/>
      <x:c r="E359" s="82"/>
      <x:c r="F359" s="82"/>
      <x:c r="G359" s="82"/>
      <x:c r="H359" s="82"/>
      <x:c r="I359" s="82"/>
      <x:c r="J359" s="82"/>
      <x:c r="K359" s="82"/>
      <x:c r="L359" s="82"/>
    </x:row>
    <x:row r="360">
      <x:c r="A360" s="81"/>
      <x:c r="B360" s="82"/>
      <x:c r="C360" s="82"/>
      <x:c r="D360" s="82"/>
      <x:c r="E360" s="82"/>
      <x:c r="F360" s="82"/>
      <x:c r="G360" s="82"/>
      <x:c r="H360" s="82"/>
      <x:c r="I360" s="82"/>
      <x:c r="J360" s="82"/>
      <x:c r="K360" s="82"/>
      <x:c r="L360" s="82"/>
    </x:row>
    <x:row r="361">
      <x:c r="A361" s="81"/>
      <x:c r="B361" s="82"/>
      <x:c r="C361" s="82"/>
      <x:c r="D361" s="82"/>
      <x:c r="E361" s="82"/>
      <x:c r="F361" s="82"/>
      <x:c r="G361" s="82"/>
      <x:c r="H361" s="82"/>
      <x:c r="I361" s="82"/>
      <x:c r="J361" s="82"/>
      <x:c r="K361" s="82"/>
      <x:c r="L361" s="82"/>
    </x:row>
    <x:row r="362">
      <x:c r="A362" s="81"/>
      <x:c r="B362" s="82"/>
      <x:c r="C362" s="82"/>
      <x:c r="D362" s="82"/>
      <x:c r="E362" s="82"/>
      <x:c r="F362" s="82"/>
      <x:c r="G362" s="82"/>
      <x:c r="H362" s="82"/>
      <x:c r="I362" s="82"/>
      <x:c r="J362" s="82"/>
      <x:c r="K362" s="82"/>
      <x:c r="L362" s="82"/>
    </x:row>
    <x:row r="363">
      <x:c r="A363" s="81"/>
      <x:c r="B363" s="82"/>
      <x:c r="C363" s="82"/>
      <x:c r="D363" s="82"/>
      <x:c r="E363" s="82"/>
      <x:c r="F363" s="82"/>
      <x:c r="G363" s="82"/>
      <x:c r="H363" s="82"/>
      <x:c r="I363" s="82"/>
      <x:c r="J363" s="82"/>
      <x:c r="K363" s="82"/>
      <x:c r="L363" s="82"/>
    </x:row>
    <x:row r="364">
      <x:c r="A364" s="81"/>
      <x:c r="B364" s="82"/>
      <x:c r="C364" s="82"/>
      <x:c r="D364" s="82"/>
      <x:c r="E364" s="82"/>
      <x:c r="F364" s="82"/>
      <x:c r="G364" s="82"/>
      <x:c r="H364" s="82"/>
      <x:c r="I364" s="82"/>
      <x:c r="J364" s="82"/>
      <x:c r="K364" s="82"/>
      <x:c r="L364" s="82"/>
    </x:row>
    <x:row r="365">
      <x:c r="A365" s="81"/>
      <x:c r="B365" s="82"/>
      <x:c r="C365" s="82"/>
      <x:c r="D365" s="82"/>
      <x:c r="E365" s="82"/>
      <x:c r="F365" s="82"/>
      <x:c r="G365" s="82"/>
      <x:c r="H365" s="82"/>
      <x:c r="I365" s="82"/>
      <x:c r="J365" s="82"/>
      <x:c r="K365" s="82"/>
      <x:c r="L365" s="82"/>
    </x:row>
    <x:row r="366">
      <x:c r="A366" s="81"/>
      <x:c r="B366" s="82"/>
      <x:c r="C366" s="82"/>
      <x:c r="D366" s="82"/>
      <x:c r="E366" s="82"/>
      <x:c r="F366" s="82"/>
      <x:c r="G366" s="82"/>
      <x:c r="H366" s="82"/>
      <x:c r="I366" s="82"/>
      <x:c r="J366" s="82"/>
      <x:c r="K366" s="82"/>
      <x:c r="L366" s="82"/>
    </x:row>
    <x:row r="367">
      <x:c r="A367" s="81"/>
      <x:c r="B367" s="82"/>
      <x:c r="C367" s="82"/>
      <x:c r="D367" s="82"/>
      <x:c r="E367" s="82"/>
      <x:c r="F367" s="82"/>
      <x:c r="G367" s="82"/>
      <x:c r="H367" s="82"/>
      <x:c r="I367" s="82"/>
      <x:c r="J367" s="82"/>
      <x:c r="K367" s="82"/>
      <x:c r="L367" s="82"/>
    </x:row>
    <x:row r="368">
      <x:c r="A368" s="81"/>
      <x:c r="B368" s="82"/>
      <x:c r="C368" s="82"/>
      <x:c r="D368" s="82"/>
      <x:c r="E368" s="82"/>
      <x:c r="F368" s="82"/>
      <x:c r="G368" s="82"/>
      <x:c r="H368" s="82"/>
      <x:c r="I368" s="82"/>
      <x:c r="J368" s="82"/>
      <x:c r="K368" s="82"/>
      <x:c r="L368" s="82"/>
    </x:row>
    <x:row r="369">
      <x:c r="A369" s="81"/>
      <x:c r="B369" s="82"/>
      <x:c r="C369" s="82"/>
      <x:c r="D369" s="82"/>
      <x:c r="E369" s="82"/>
      <x:c r="F369" s="82"/>
      <x:c r="G369" s="82"/>
      <x:c r="H369" s="82"/>
      <x:c r="I369" s="82"/>
      <x:c r="J369" s="82"/>
      <x:c r="K369" s="82"/>
      <x:c r="L369" s="82"/>
    </x:row>
    <x:row r="370">
      <x:c r="A370" s="81"/>
      <x:c r="B370" s="82"/>
      <x:c r="C370" s="82"/>
      <x:c r="D370" s="82"/>
      <x:c r="E370" s="82"/>
      <x:c r="F370" s="82"/>
      <x:c r="G370" s="82"/>
      <x:c r="H370" s="82"/>
      <x:c r="I370" s="82"/>
      <x:c r="J370" s="82"/>
      <x:c r="K370" s="82"/>
      <x:c r="L370" s="82"/>
    </x:row>
    <x:row r="371">
      <x:c r="A371" s="81"/>
      <x:c r="B371" s="82"/>
      <x:c r="C371" s="82"/>
      <x:c r="D371" s="82"/>
      <x:c r="E371" s="82"/>
      <x:c r="F371" s="82"/>
      <x:c r="G371" s="82"/>
      <x:c r="H371" s="82"/>
      <x:c r="I371" s="82"/>
      <x:c r="J371" s="82"/>
      <x:c r="K371" s="82"/>
      <x:c r="L371" s="82"/>
    </x:row>
    <x:row r="372">
      <x:c r="A372" s="81"/>
      <x:c r="B372" s="82"/>
      <x:c r="C372" s="82"/>
      <x:c r="D372" s="82"/>
      <x:c r="E372" s="82"/>
      <x:c r="F372" s="82"/>
      <x:c r="G372" s="82"/>
      <x:c r="H372" s="82"/>
      <x:c r="I372" s="82"/>
      <x:c r="J372" s="82"/>
      <x:c r="K372" s="82"/>
      <x:c r="L372" s="82"/>
    </x:row>
    <x:row r="373">
      <x:c r="A373" s="81"/>
      <x:c r="B373" s="82"/>
      <x:c r="C373" s="82"/>
      <x:c r="D373" s="82"/>
      <x:c r="E373" s="82"/>
      <x:c r="F373" s="82"/>
      <x:c r="G373" s="82"/>
      <x:c r="H373" s="82"/>
      <x:c r="I373" s="82"/>
      <x:c r="J373" s="82"/>
      <x:c r="K373" s="82"/>
      <x:c r="L373" s="82"/>
    </x:row>
    <x:row r="374">
      <x:c r="A374" s="81"/>
      <x:c r="B374" s="82"/>
      <x:c r="C374" s="82"/>
      <x:c r="D374" s="82"/>
      <x:c r="E374" s="82"/>
      <x:c r="F374" s="82"/>
      <x:c r="G374" s="82"/>
      <x:c r="H374" s="82"/>
      <x:c r="I374" s="82"/>
      <x:c r="J374" s="82"/>
      <x:c r="K374" s="82"/>
      <x:c r="L374" s="82"/>
    </x:row>
    <x:row r="375">
      <x:c r="A375" s="81"/>
      <x:c r="B375" s="82"/>
      <x:c r="C375" s="82"/>
      <x:c r="D375" s="82"/>
      <x:c r="E375" s="82"/>
      <x:c r="F375" s="82"/>
      <x:c r="G375" s="82"/>
      <x:c r="H375" s="82"/>
      <x:c r="I375" s="82"/>
      <x:c r="J375" s="82"/>
      <x:c r="K375" s="82"/>
      <x:c r="L375" s="82"/>
    </x:row>
    <x:row r="376">
      <x:c r="A376" s="81"/>
      <x:c r="B376" s="82"/>
      <x:c r="C376" s="82"/>
      <x:c r="D376" s="82"/>
      <x:c r="E376" s="82"/>
      <x:c r="F376" s="82"/>
      <x:c r="G376" s="82"/>
      <x:c r="H376" s="82"/>
      <x:c r="I376" s="82"/>
      <x:c r="J376" s="82"/>
      <x:c r="K376" s="82"/>
      <x:c r="L376" s="82"/>
    </x:row>
    <x:row r="377">
      <x:c r="A377" s="81"/>
      <x:c r="B377" s="82"/>
      <x:c r="C377" s="82"/>
      <x:c r="D377" s="82"/>
      <x:c r="E377" s="82"/>
      <x:c r="F377" s="82"/>
      <x:c r="G377" s="82"/>
      <x:c r="H377" s="82"/>
      <x:c r="I377" s="82"/>
      <x:c r="J377" s="82"/>
      <x:c r="K377" s="82"/>
      <x:c r="L377" s="82"/>
    </x:row>
    <x:row r="378">
      <x:c r="A378" s="81"/>
      <x:c r="B378" s="82"/>
      <x:c r="C378" s="82"/>
      <x:c r="D378" s="82"/>
      <x:c r="E378" s="82"/>
      <x:c r="F378" s="82"/>
      <x:c r="G378" s="82"/>
      <x:c r="H378" s="82"/>
      <x:c r="I378" s="82"/>
      <x:c r="J378" s="82"/>
      <x:c r="K378" s="82"/>
      <x:c r="L378" s="82"/>
    </x:row>
    <x:row r="379">
      <x:c r="A379" s="81"/>
      <x:c r="B379" s="82"/>
      <x:c r="C379" s="82"/>
      <x:c r="D379" s="82"/>
      <x:c r="E379" s="82"/>
      <x:c r="F379" s="82"/>
      <x:c r="G379" s="82"/>
      <x:c r="H379" s="82"/>
      <x:c r="I379" s="82"/>
      <x:c r="J379" s="82"/>
      <x:c r="K379" s="82"/>
      <x:c r="L379" s="82"/>
    </x:row>
    <x:row r="380">
      <x:c r="A380" s="81"/>
      <x:c r="B380" s="82"/>
      <x:c r="C380" s="82"/>
      <x:c r="D380" s="82"/>
      <x:c r="E380" s="82"/>
      <x:c r="F380" s="82"/>
      <x:c r="G380" s="82"/>
      <x:c r="H380" s="82"/>
      <x:c r="I380" s="82"/>
      <x:c r="J380" s="82"/>
      <x:c r="K380" s="82"/>
      <x:c r="L380" s="82"/>
    </x:row>
    <x:row r="381">
      <x:c r="A381" s="81"/>
      <x:c r="B381" s="82"/>
      <x:c r="C381" s="82"/>
      <x:c r="D381" s="82"/>
      <x:c r="E381" s="82"/>
      <x:c r="F381" s="82"/>
      <x:c r="G381" s="82"/>
      <x:c r="H381" s="82"/>
      <x:c r="I381" s="82"/>
      <x:c r="J381" s="82"/>
      <x:c r="K381" s="82"/>
      <x:c r="L381" s="82"/>
    </x:row>
    <x:row r="382">
      <x:c r="A382" s="81"/>
      <x:c r="B382" s="82"/>
      <x:c r="C382" s="82"/>
      <x:c r="D382" s="82"/>
      <x:c r="E382" s="82"/>
      <x:c r="F382" s="82"/>
      <x:c r="G382" s="82"/>
      <x:c r="H382" s="82"/>
      <x:c r="I382" s="82"/>
      <x:c r="J382" s="82"/>
      <x:c r="K382" s="82"/>
      <x:c r="L382" s="82"/>
    </x:row>
    <x:row r="383">
      <x:c r="A383" s="81"/>
      <x:c r="B383" s="82"/>
      <x:c r="C383" s="82"/>
      <x:c r="D383" s="82"/>
      <x:c r="E383" s="82"/>
      <x:c r="F383" s="82"/>
      <x:c r="G383" s="82"/>
      <x:c r="H383" s="82"/>
      <x:c r="I383" s="82"/>
      <x:c r="J383" s="82"/>
      <x:c r="K383" s="82"/>
      <x:c r="L383" s="82"/>
    </x:row>
    <x:row r="384">
      <x:c r="A384" s="81"/>
      <x:c r="B384" s="82"/>
      <x:c r="C384" s="82"/>
      <x:c r="D384" s="82"/>
      <x:c r="E384" s="82"/>
      <x:c r="F384" s="82"/>
      <x:c r="G384" s="82"/>
      <x:c r="H384" s="82"/>
      <x:c r="I384" s="82"/>
      <x:c r="J384" s="82"/>
      <x:c r="K384" s="82"/>
      <x:c r="L384" s="82"/>
    </x:row>
    <x:row r="385">
      <x:c r="A385" s="81"/>
      <x:c r="B385" s="82"/>
      <x:c r="C385" s="82"/>
      <x:c r="D385" s="82"/>
      <x:c r="E385" s="82"/>
      <x:c r="F385" s="82"/>
      <x:c r="G385" s="82"/>
      <x:c r="H385" s="82"/>
      <x:c r="I385" s="82"/>
      <x:c r="J385" s="82"/>
      <x:c r="K385" s="82"/>
      <x:c r="L385" s="82"/>
    </x:row>
    <x:row r="386">
      <x:c r="A386" s="81"/>
      <x:c r="B386" s="82"/>
      <x:c r="C386" s="82"/>
      <x:c r="D386" s="82"/>
      <x:c r="E386" s="82"/>
      <x:c r="F386" s="82"/>
      <x:c r="G386" s="82"/>
      <x:c r="H386" s="82"/>
      <x:c r="I386" s="82"/>
      <x:c r="J386" s="82"/>
      <x:c r="K386" s="82"/>
      <x:c r="L386" s="82"/>
    </x:row>
    <x:row r="387">
      <x:c r="A387" s="81"/>
      <x:c r="B387" s="82"/>
      <x:c r="C387" s="82"/>
      <x:c r="D387" s="82"/>
      <x:c r="E387" s="82"/>
      <x:c r="F387" s="82"/>
      <x:c r="G387" s="82"/>
      <x:c r="H387" s="82"/>
      <x:c r="I387" s="82"/>
      <x:c r="J387" s="82"/>
      <x:c r="K387" s="82"/>
      <x:c r="L387" s="82"/>
    </x:row>
    <x:row r="388">
      <x:c r="A388" s="81"/>
      <x:c r="B388" s="82"/>
      <x:c r="C388" s="82"/>
      <x:c r="D388" s="82"/>
      <x:c r="E388" s="82"/>
      <x:c r="F388" s="82"/>
      <x:c r="G388" s="82"/>
      <x:c r="H388" s="82"/>
      <x:c r="I388" s="82"/>
      <x:c r="J388" s="82"/>
      <x:c r="K388" s="82"/>
      <x:c r="L388" s="82"/>
    </x:row>
    <x:row r="389">
      <x:c r="A389" s="81"/>
      <x:c r="B389" s="82"/>
      <x:c r="C389" s="82"/>
      <x:c r="D389" s="82"/>
      <x:c r="E389" s="82"/>
      <x:c r="F389" s="82"/>
      <x:c r="G389" s="82"/>
      <x:c r="H389" s="82"/>
      <x:c r="I389" s="82"/>
      <x:c r="J389" s="82"/>
      <x:c r="K389" s="82"/>
      <x:c r="L389" s="82"/>
    </x:row>
    <x:row r="390">
      <x:c r="A390" s="81"/>
      <x:c r="B390" s="82"/>
      <x:c r="C390" s="82"/>
      <x:c r="D390" s="82"/>
      <x:c r="E390" s="82"/>
      <x:c r="F390" s="82"/>
      <x:c r="G390" s="82"/>
      <x:c r="H390" s="82"/>
      <x:c r="I390" s="82"/>
      <x:c r="J390" s="82"/>
      <x:c r="K390" s="82"/>
      <x:c r="L390" s="82"/>
    </x:row>
    <x:row r="391">
      <x:c r="A391" s="81"/>
      <x:c r="B391" s="82"/>
      <x:c r="C391" s="82"/>
      <x:c r="D391" s="82"/>
      <x:c r="E391" s="82"/>
      <x:c r="F391" s="82"/>
      <x:c r="G391" s="82"/>
      <x:c r="H391" s="82"/>
      <x:c r="I391" s="82"/>
      <x:c r="J391" s="82"/>
      <x:c r="K391" s="82"/>
      <x:c r="L391" s="82"/>
    </x:row>
    <x:row r="392">
      <x:c r="A392" s="81"/>
      <x:c r="B392" s="82"/>
      <x:c r="C392" s="82"/>
      <x:c r="D392" s="82"/>
      <x:c r="E392" s="82"/>
      <x:c r="F392" s="82"/>
      <x:c r="G392" s="82"/>
      <x:c r="H392" s="82"/>
      <x:c r="I392" s="82"/>
      <x:c r="J392" s="82"/>
      <x:c r="K392" s="82"/>
      <x:c r="L392" s="82"/>
    </x:row>
    <x:row r="393">
      <x:c r="A393" s="81"/>
      <x:c r="B393" s="82"/>
      <x:c r="C393" s="82"/>
      <x:c r="D393" s="82"/>
      <x:c r="E393" s="82"/>
      <x:c r="F393" s="82"/>
      <x:c r="G393" s="82"/>
      <x:c r="H393" s="82"/>
      <x:c r="I393" s="82"/>
      <x:c r="J393" s="82"/>
      <x:c r="K393" s="82"/>
      <x:c r="L393" s="82"/>
    </x:row>
    <x:row r="394">
      <x:c r="A394" s="81"/>
      <x:c r="B394" s="82"/>
      <x:c r="C394" s="82"/>
      <x:c r="D394" s="82"/>
      <x:c r="E394" s="82"/>
      <x:c r="F394" s="82"/>
      <x:c r="G394" s="82"/>
      <x:c r="H394" s="82"/>
      <x:c r="I394" s="82"/>
      <x:c r="J394" s="82"/>
      <x:c r="K394" s="82"/>
      <x:c r="L394" s="82"/>
    </x:row>
    <x:row r="395">
      <x:c r="A395" s="81"/>
      <x:c r="B395" s="82"/>
      <x:c r="C395" s="82"/>
      <x:c r="D395" s="82"/>
      <x:c r="E395" s="82"/>
      <x:c r="F395" s="82"/>
      <x:c r="G395" s="82"/>
      <x:c r="H395" s="82"/>
      <x:c r="I395" s="82"/>
      <x:c r="J395" s="82"/>
      <x:c r="K395" s="82"/>
      <x:c r="L395" s="82"/>
    </x:row>
    <x:row r="396">
      <x:c r="A396" s="81"/>
      <x:c r="B396" s="82"/>
      <x:c r="C396" s="82"/>
      <x:c r="D396" s="82"/>
      <x:c r="E396" s="82"/>
      <x:c r="F396" s="82"/>
      <x:c r="G396" s="82"/>
      <x:c r="H396" s="82"/>
      <x:c r="I396" s="82"/>
      <x:c r="J396" s="82"/>
      <x:c r="K396" s="82"/>
      <x:c r="L396" s="82"/>
    </x:row>
    <x:row r="397">
      <x:c r="A397" s="81"/>
      <x:c r="B397" s="82"/>
      <x:c r="C397" s="82"/>
      <x:c r="D397" s="82"/>
      <x:c r="E397" s="82"/>
      <x:c r="F397" s="82"/>
      <x:c r="G397" s="82"/>
      <x:c r="H397" s="82"/>
      <x:c r="I397" s="82"/>
      <x:c r="J397" s="82"/>
      <x:c r="K397" s="82"/>
      <x:c r="L397" s="82"/>
    </x:row>
    <x:row r="398">
      <x:c r="A398" s="81"/>
      <x:c r="B398" s="82"/>
      <x:c r="C398" s="82"/>
      <x:c r="D398" s="82"/>
      <x:c r="E398" s="82"/>
      <x:c r="F398" s="82"/>
      <x:c r="G398" s="82"/>
      <x:c r="H398" s="82"/>
      <x:c r="I398" s="82"/>
      <x:c r="J398" s="82"/>
      <x:c r="K398" s="82"/>
      <x:c r="L398" s="82"/>
    </x:row>
    <x:row r="399">
      <x:c r="A399" s="81"/>
      <x:c r="B399" s="82"/>
      <x:c r="C399" s="82"/>
      <x:c r="D399" s="82"/>
      <x:c r="E399" s="82"/>
      <x:c r="F399" s="82"/>
      <x:c r="G399" s="82"/>
      <x:c r="H399" s="82"/>
      <x:c r="I399" s="82"/>
      <x:c r="J399" s="82"/>
      <x:c r="K399" s="82"/>
      <x:c r="L399" s="82"/>
    </x:row>
    <x:row r="400">
      <x:c r="A400" s="81"/>
      <x:c r="B400" s="82"/>
      <x:c r="C400" s="82"/>
      <x:c r="D400" s="82"/>
      <x:c r="E400" s="82"/>
      <x:c r="F400" s="82"/>
      <x:c r="G400" s="82"/>
      <x:c r="H400" s="82"/>
      <x:c r="I400" s="82"/>
      <x:c r="J400" s="82"/>
      <x:c r="K400" s="82"/>
      <x:c r="L400" s="82"/>
    </x:row>
    <x:row r="401">
      <x:c r="A401" s="81"/>
      <x:c r="B401" s="82"/>
      <x:c r="C401" s="82"/>
      <x:c r="D401" s="82"/>
      <x:c r="E401" s="82"/>
      <x:c r="F401" s="82"/>
      <x:c r="G401" s="82"/>
      <x:c r="H401" s="82"/>
      <x:c r="I401" s="82"/>
      <x:c r="J401" s="82"/>
      <x:c r="K401" s="82"/>
      <x:c r="L401" s="82"/>
    </x:row>
    <x:row r="402">
      <x:c r="A402" s="81"/>
      <x:c r="B402" s="82"/>
      <x:c r="C402" s="82"/>
      <x:c r="D402" s="82"/>
      <x:c r="E402" s="82"/>
      <x:c r="F402" s="82"/>
      <x:c r="G402" s="82"/>
      <x:c r="H402" s="82"/>
      <x:c r="I402" s="82"/>
      <x:c r="J402" s="82"/>
      <x:c r="K402" s="82"/>
      <x:c r="L402" s="82"/>
    </x:row>
    <x:row r="403">
      <x:c r="A403" s="81"/>
      <x:c r="B403" s="82"/>
      <x:c r="C403" s="82"/>
      <x:c r="D403" s="82"/>
      <x:c r="E403" s="82"/>
      <x:c r="F403" s="82"/>
      <x:c r="G403" s="82"/>
      <x:c r="H403" s="82"/>
      <x:c r="I403" s="82"/>
      <x:c r="J403" s="82"/>
      <x:c r="K403" s="82"/>
      <x:c r="L403" s="82"/>
    </x:row>
    <x:row r="404">
      <x:c r="A404" s="81"/>
      <x:c r="B404" s="82"/>
      <x:c r="C404" s="82"/>
      <x:c r="D404" s="82"/>
      <x:c r="E404" s="82"/>
      <x:c r="F404" s="82"/>
      <x:c r="G404" s="82"/>
      <x:c r="H404" s="82"/>
      <x:c r="I404" s="82"/>
      <x:c r="J404" s="82"/>
      <x:c r="K404" s="82"/>
      <x:c r="L404" s="82"/>
    </x:row>
    <x:row r="405">
      <x:c r="A405" s="81"/>
      <x:c r="B405" s="82"/>
      <x:c r="C405" s="82"/>
      <x:c r="D405" s="82"/>
      <x:c r="E405" s="82"/>
      <x:c r="F405" s="82"/>
      <x:c r="G405" s="82"/>
      <x:c r="H405" s="82"/>
      <x:c r="I405" s="82"/>
      <x:c r="J405" s="82"/>
      <x:c r="K405" s="82"/>
      <x:c r="L405" s="82"/>
    </x:row>
    <x:row r="406">
      <x:c r="A406" s="81"/>
      <x:c r="B406" s="82"/>
      <x:c r="C406" s="82"/>
      <x:c r="D406" s="82"/>
      <x:c r="E406" s="82"/>
      <x:c r="F406" s="82"/>
      <x:c r="G406" s="82"/>
      <x:c r="H406" s="82"/>
      <x:c r="I406" s="82"/>
      <x:c r="J406" s="82"/>
      <x:c r="K406" s="82"/>
      <x:c r="L406" s="82"/>
    </x:row>
    <x:row r="407">
      <x:c r="A407" s="81"/>
      <x:c r="B407" s="82"/>
      <x:c r="C407" s="82"/>
      <x:c r="D407" s="82"/>
      <x:c r="E407" s="82"/>
      <x:c r="F407" s="82"/>
      <x:c r="G407" s="82"/>
      <x:c r="H407" s="82"/>
      <x:c r="I407" s="82"/>
      <x:c r="J407" s="82"/>
      <x:c r="K407" s="82"/>
      <x:c r="L407" s="82"/>
    </x:row>
    <x:row r="408">
      <x:c r="A408" s="81"/>
      <x:c r="B408" s="82"/>
      <x:c r="C408" s="82"/>
      <x:c r="D408" s="82"/>
      <x:c r="E408" s="82"/>
      <x:c r="F408" s="82"/>
      <x:c r="G408" s="82"/>
      <x:c r="H408" s="82"/>
      <x:c r="I408" s="82"/>
      <x:c r="J408" s="82"/>
      <x:c r="K408" s="82"/>
      <x:c r="L408" s="82"/>
    </x:row>
    <x:row r="409">
      <x:c r="A409" s="81"/>
      <x:c r="B409" s="82"/>
      <x:c r="C409" s="82"/>
      <x:c r="D409" s="82"/>
      <x:c r="E409" s="82"/>
      <x:c r="F409" s="82"/>
      <x:c r="G409" s="82"/>
      <x:c r="H409" s="82"/>
      <x:c r="I409" s="82"/>
      <x:c r="J409" s="82"/>
      <x:c r="K409" s="82"/>
      <x:c r="L409" s="82"/>
    </x:row>
    <x:row r="410">
      <x:c r="A410" s="81"/>
      <x:c r="B410" s="82"/>
      <x:c r="C410" s="82"/>
      <x:c r="D410" s="82"/>
      <x:c r="E410" s="82"/>
      <x:c r="F410" s="82"/>
      <x:c r="G410" s="82"/>
      <x:c r="H410" s="82"/>
      <x:c r="I410" s="82"/>
      <x:c r="J410" s="82"/>
      <x:c r="K410" s="82"/>
      <x:c r="L410" s="82"/>
    </x:row>
    <x:row r="411">
      <x:c r="A411" s="81"/>
      <x:c r="B411" s="82"/>
      <x:c r="C411" s="82"/>
      <x:c r="D411" s="82"/>
      <x:c r="E411" s="82"/>
      <x:c r="F411" s="82"/>
      <x:c r="G411" s="82"/>
      <x:c r="H411" s="82"/>
      <x:c r="I411" s="82"/>
      <x:c r="J411" s="82"/>
      <x:c r="K411" s="82"/>
      <x:c r="L411" s="82"/>
    </x:row>
    <x:row r="412">
      <x:c r="A412" s="81"/>
      <x:c r="B412" s="82"/>
      <x:c r="C412" s="82"/>
      <x:c r="D412" s="82"/>
      <x:c r="E412" s="82"/>
      <x:c r="F412" s="82"/>
      <x:c r="G412" s="82"/>
      <x:c r="H412" s="82"/>
      <x:c r="I412" s="82"/>
      <x:c r="J412" s="82"/>
      <x:c r="K412" s="82"/>
      <x:c r="L412" s="82"/>
    </x:row>
    <x:row r="413">
      <x:c r="A413" s="81"/>
      <x:c r="B413" s="82"/>
      <x:c r="C413" s="82"/>
      <x:c r="D413" s="82"/>
      <x:c r="E413" s="82"/>
      <x:c r="F413" s="82"/>
      <x:c r="G413" s="82"/>
      <x:c r="H413" s="82"/>
      <x:c r="I413" s="82"/>
      <x:c r="J413" s="82"/>
      <x:c r="K413" s="82"/>
      <x:c r="L413" s="82"/>
    </x:row>
    <x:row r="414">
      <x:c r="A414" s="81"/>
      <x:c r="B414" s="82"/>
      <x:c r="C414" s="82"/>
      <x:c r="D414" s="82"/>
      <x:c r="E414" s="82"/>
      <x:c r="F414" s="82"/>
      <x:c r="G414" s="82"/>
      <x:c r="H414" s="82"/>
      <x:c r="I414" s="82"/>
      <x:c r="J414" s="82"/>
      <x:c r="K414" s="82"/>
      <x:c r="L414" s="82"/>
    </x:row>
    <x:row r="415">
      <x:c r="A415" s="81"/>
      <x:c r="B415" s="82"/>
      <x:c r="C415" s="82"/>
      <x:c r="D415" s="82"/>
      <x:c r="E415" s="82"/>
      <x:c r="F415" s="82"/>
      <x:c r="G415" s="82"/>
      <x:c r="H415" s="82"/>
      <x:c r="I415" s="82"/>
      <x:c r="J415" s="82"/>
      <x:c r="K415" s="82"/>
      <x:c r="L415" s="82"/>
    </x:row>
    <x:row r="416">
      <x:c r="A416" s="81"/>
      <x:c r="B416" s="82"/>
      <x:c r="C416" s="82"/>
      <x:c r="D416" s="82"/>
      <x:c r="E416" s="82"/>
      <x:c r="F416" s="82"/>
      <x:c r="G416" s="82"/>
      <x:c r="H416" s="82"/>
      <x:c r="I416" s="82"/>
      <x:c r="J416" s="82"/>
      <x:c r="K416" s="82"/>
      <x:c r="L416" s="82"/>
    </x:row>
    <x:row r="417">
      <x:c r="A417" s="81"/>
      <x:c r="B417" s="82"/>
      <x:c r="C417" s="82"/>
      <x:c r="D417" s="82"/>
      <x:c r="E417" s="82"/>
      <x:c r="F417" s="82"/>
      <x:c r="G417" s="82"/>
      <x:c r="H417" s="82"/>
      <x:c r="I417" s="82"/>
      <x:c r="J417" s="82"/>
      <x:c r="K417" s="82"/>
      <x:c r="L417" s="82"/>
    </x:row>
    <x:row r="418">
      <x:c r="A418" s="81"/>
      <x:c r="B418" s="82"/>
      <x:c r="C418" s="82"/>
      <x:c r="D418" s="82"/>
      <x:c r="E418" s="82"/>
      <x:c r="F418" s="82"/>
      <x:c r="G418" s="82"/>
      <x:c r="H418" s="82"/>
      <x:c r="I418" s="82"/>
      <x:c r="J418" s="82"/>
      <x:c r="K418" s="82"/>
      <x:c r="L418" s="82"/>
    </x:row>
    <x:row r="419">
      <x:c r="A419" s="81"/>
      <x:c r="B419" s="82"/>
      <x:c r="C419" s="82"/>
      <x:c r="D419" s="82"/>
      <x:c r="E419" s="82"/>
      <x:c r="F419" s="82"/>
      <x:c r="G419" s="82"/>
      <x:c r="H419" s="82"/>
      <x:c r="I419" s="82"/>
      <x:c r="J419" s="82"/>
      <x:c r="K419" s="82"/>
      <x:c r="L419" s="82"/>
    </x:row>
    <x:row r="420">
      <x:c r="A420" s="81"/>
      <x:c r="B420" s="82"/>
      <x:c r="C420" s="82"/>
      <x:c r="D420" s="82"/>
      <x:c r="E420" s="82"/>
      <x:c r="F420" s="82"/>
      <x:c r="G420" s="82"/>
      <x:c r="H420" s="82"/>
      <x:c r="I420" s="82"/>
      <x:c r="J420" s="82"/>
      <x:c r="K420" s="82"/>
      <x:c r="L420" s="82"/>
    </x:row>
    <x:row r="421">
      <x:c r="A421" s="81"/>
      <x:c r="B421" s="82"/>
      <x:c r="C421" s="82"/>
      <x:c r="D421" s="82"/>
      <x:c r="E421" s="82"/>
      <x:c r="F421" s="82"/>
      <x:c r="G421" s="82"/>
      <x:c r="H421" s="82"/>
      <x:c r="I421" s="82"/>
      <x:c r="J421" s="82"/>
      <x:c r="K421" s="82"/>
      <x:c r="L421" s="82"/>
    </x:row>
    <x:row r="422">
      <x:c r="A422" s="81"/>
      <x:c r="B422" s="82"/>
      <x:c r="C422" s="82"/>
      <x:c r="D422" s="82"/>
      <x:c r="E422" s="82"/>
      <x:c r="F422" s="82"/>
      <x:c r="G422" s="82"/>
      <x:c r="H422" s="82"/>
      <x:c r="I422" s="82"/>
      <x:c r="J422" s="82"/>
      <x:c r="K422" s="82"/>
      <x:c r="L422" s="82"/>
    </x:row>
    <x:row r="423">
      <x:c r="A423" s="81"/>
      <x:c r="B423" s="82"/>
      <x:c r="C423" s="82"/>
      <x:c r="D423" s="82"/>
      <x:c r="E423" s="82"/>
      <x:c r="F423" s="82"/>
      <x:c r="G423" s="82"/>
      <x:c r="H423" s="82"/>
      <x:c r="I423" s="82"/>
      <x:c r="J423" s="82"/>
      <x:c r="K423" s="82"/>
      <x:c r="L423" s="82"/>
    </x:row>
    <x:row r="424">
      <x:c r="A424" s="81"/>
      <x:c r="B424" s="82"/>
      <x:c r="C424" s="82"/>
      <x:c r="D424" s="82"/>
      <x:c r="E424" s="82"/>
      <x:c r="F424" s="82"/>
      <x:c r="G424" s="82"/>
      <x:c r="H424" s="82"/>
      <x:c r="I424" s="82"/>
      <x:c r="J424" s="82"/>
      <x:c r="K424" s="82"/>
      <x:c r="L424" s="82"/>
    </x:row>
    <x:row r="425">
      <x:c r="A425" s="81"/>
      <x:c r="B425" s="82"/>
      <x:c r="C425" s="82"/>
      <x:c r="D425" s="82"/>
      <x:c r="E425" s="82"/>
      <x:c r="F425" s="82"/>
      <x:c r="G425" s="82"/>
      <x:c r="H425" s="82"/>
      <x:c r="I425" s="82"/>
      <x:c r="J425" s="82"/>
      <x:c r="K425" s="82"/>
      <x:c r="L425" s="82"/>
    </x:row>
    <x:row r="426">
      <x:c r="A426" s="81"/>
      <x:c r="B426" s="82"/>
      <x:c r="C426" s="82"/>
      <x:c r="D426" s="82"/>
      <x:c r="E426" s="82"/>
      <x:c r="F426" s="82"/>
      <x:c r="G426" s="82"/>
      <x:c r="H426" s="82"/>
      <x:c r="I426" s="82"/>
      <x:c r="J426" s="82"/>
      <x:c r="K426" s="82"/>
      <x:c r="L426" s="82"/>
    </x:row>
    <x:row r="427">
      <x:c r="A427" s="81"/>
      <x:c r="B427" s="82"/>
      <x:c r="C427" s="82"/>
      <x:c r="D427" s="82"/>
      <x:c r="E427" s="82"/>
      <x:c r="F427" s="82"/>
      <x:c r="G427" s="82"/>
      <x:c r="H427" s="82"/>
      <x:c r="I427" s="82"/>
      <x:c r="J427" s="82"/>
      <x:c r="K427" s="82"/>
      <x:c r="L427" s="82"/>
    </x:row>
    <x:row r="428">
      <x:c r="A428" s="81"/>
      <x:c r="B428" s="82"/>
      <x:c r="C428" s="82"/>
      <x:c r="D428" s="82"/>
      <x:c r="E428" s="82"/>
      <x:c r="F428" s="82"/>
      <x:c r="G428" s="82"/>
      <x:c r="H428" s="82"/>
      <x:c r="I428" s="82"/>
      <x:c r="J428" s="82"/>
      <x:c r="K428" s="82"/>
      <x:c r="L428" s="82"/>
    </x:row>
    <x:row r="429">
      <x:c r="A429" s="81"/>
      <x:c r="B429" s="82"/>
      <x:c r="C429" s="82"/>
      <x:c r="D429" s="82"/>
      <x:c r="E429" s="82"/>
      <x:c r="F429" s="82"/>
      <x:c r="G429" s="82"/>
      <x:c r="H429" s="82"/>
      <x:c r="I429" s="82"/>
      <x:c r="J429" s="82"/>
      <x:c r="K429" s="82"/>
      <x:c r="L429" s="82"/>
    </x:row>
    <x:row r="430">
      <x:c r="A430" s="81"/>
      <x:c r="B430" s="82"/>
      <x:c r="C430" s="82"/>
      <x:c r="D430" s="82"/>
      <x:c r="E430" s="82"/>
      <x:c r="F430" s="82"/>
      <x:c r="G430" s="82"/>
      <x:c r="H430" s="82"/>
      <x:c r="I430" s="82"/>
      <x:c r="J430" s="82"/>
      <x:c r="K430" s="82"/>
      <x:c r="L430" s="82"/>
    </x:row>
    <x:row r="431">
      <x:c r="A431" s="81"/>
      <x:c r="B431" s="82"/>
      <x:c r="C431" s="82"/>
      <x:c r="D431" s="82"/>
      <x:c r="E431" s="82"/>
      <x:c r="F431" s="82"/>
      <x:c r="G431" s="82"/>
      <x:c r="H431" s="82"/>
      <x:c r="I431" s="82"/>
      <x:c r="J431" s="82"/>
      <x:c r="K431" s="82"/>
      <x:c r="L431" s="82"/>
    </x:row>
    <x:row r="432">
      <x:c r="A432" s="81"/>
      <x:c r="B432" s="82"/>
      <x:c r="C432" s="82"/>
      <x:c r="D432" s="82"/>
      <x:c r="E432" s="82"/>
      <x:c r="F432" s="82"/>
      <x:c r="G432" s="82"/>
      <x:c r="H432" s="82"/>
      <x:c r="I432" s="82"/>
      <x:c r="J432" s="82"/>
      <x:c r="K432" s="82"/>
      <x:c r="L432" s="82"/>
    </x:row>
    <x:row r="433">
      <x:c r="A433" s="81"/>
      <x:c r="B433" s="82"/>
      <x:c r="C433" s="82"/>
      <x:c r="D433" s="82"/>
      <x:c r="E433" s="82"/>
      <x:c r="F433" s="82"/>
      <x:c r="G433" s="82"/>
      <x:c r="H433" s="82"/>
      <x:c r="I433" s="82"/>
      <x:c r="J433" s="82"/>
      <x:c r="K433" s="82"/>
      <x:c r="L433" s="82"/>
    </x:row>
    <x:row r="434">
      <x:c r="A434" s="81"/>
      <x:c r="B434" s="82"/>
      <x:c r="C434" s="82"/>
      <x:c r="D434" s="82"/>
      <x:c r="E434" s="82"/>
      <x:c r="F434" s="82"/>
      <x:c r="G434" s="82"/>
      <x:c r="H434" s="82"/>
      <x:c r="I434" s="82"/>
      <x:c r="J434" s="82"/>
      <x:c r="K434" s="82"/>
      <x:c r="L434" s="82"/>
    </x:row>
    <x:row r="435">
      <x:c r="A435" s="81"/>
      <x:c r="B435" s="82"/>
      <x:c r="C435" s="82"/>
      <x:c r="D435" s="82"/>
      <x:c r="E435" s="82"/>
      <x:c r="F435" s="82"/>
      <x:c r="G435" s="82"/>
      <x:c r="H435" s="82"/>
      <x:c r="I435" s="82"/>
      <x:c r="J435" s="82"/>
      <x:c r="K435" s="82"/>
      <x:c r="L435" s="82"/>
    </x:row>
    <x:row r="436">
      <x:c r="A436" s="81"/>
      <x:c r="B436" s="82"/>
      <x:c r="C436" s="82"/>
      <x:c r="D436" s="82"/>
      <x:c r="E436" s="82"/>
      <x:c r="F436" s="82"/>
      <x:c r="G436" s="82"/>
      <x:c r="H436" s="82"/>
      <x:c r="I436" s="82"/>
      <x:c r="J436" s="82"/>
      <x:c r="K436" s="82"/>
      <x:c r="L436" s="82"/>
    </x:row>
    <x:row r="437">
      <x:c r="A437" s="81"/>
      <x:c r="B437" s="82"/>
      <x:c r="C437" s="82"/>
      <x:c r="D437" s="82"/>
      <x:c r="E437" s="82"/>
      <x:c r="F437" s="82"/>
      <x:c r="G437" s="82"/>
      <x:c r="H437" s="82"/>
      <x:c r="I437" s="82"/>
      <x:c r="J437" s="82"/>
      <x:c r="K437" s="82"/>
      <x:c r="L437" s="82"/>
    </x:row>
    <x:row r="438">
      <x:c r="A438" s="81"/>
      <x:c r="B438" s="82"/>
      <x:c r="C438" s="82"/>
      <x:c r="D438" s="82"/>
      <x:c r="E438" s="82"/>
      <x:c r="F438" s="82"/>
      <x:c r="G438" s="82"/>
      <x:c r="H438" s="82"/>
      <x:c r="I438" s="82"/>
      <x:c r="J438" s="82"/>
      <x:c r="K438" s="82"/>
      <x:c r="L438" s="82"/>
    </x:row>
    <x:row r="439">
      <x:c r="A439" s="81"/>
      <x:c r="B439" s="82"/>
      <x:c r="C439" s="82"/>
      <x:c r="D439" s="82"/>
      <x:c r="E439" s="82"/>
      <x:c r="F439" s="82"/>
      <x:c r="G439" s="82"/>
      <x:c r="H439" s="82"/>
      <x:c r="I439" s="82"/>
      <x:c r="J439" s="82"/>
      <x:c r="K439" s="82"/>
      <x:c r="L439" s="82"/>
    </x:row>
    <x:row r="440">
      <x:c r="A440" s="81"/>
      <x:c r="B440" s="82"/>
      <x:c r="C440" s="82"/>
      <x:c r="D440" s="82"/>
      <x:c r="E440" s="82"/>
      <x:c r="F440" s="82"/>
      <x:c r="G440" s="82"/>
      <x:c r="H440" s="82"/>
      <x:c r="I440" s="82"/>
      <x:c r="J440" s="82"/>
      <x:c r="K440" s="82"/>
      <x:c r="L440" s="82"/>
    </x:row>
    <x:row r="441">
      <x:c r="A441" s="81"/>
      <x:c r="B441" s="82"/>
      <x:c r="C441" s="82"/>
      <x:c r="D441" s="82"/>
      <x:c r="E441" s="82"/>
      <x:c r="F441" s="82"/>
      <x:c r="G441" s="82"/>
      <x:c r="H441" s="82"/>
      <x:c r="I441" s="82"/>
      <x:c r="J441" s="82"/>
      <x:c r="K441" s="82"/>
      <x:c r="L441" s="82"/>
    </x:row>
    <x:row r="442">
      <x:c r="A442" s="81"/>
      <x:c r="B442" s="82"/>
      <x:c r="C442" s="82"/>
      <x:c r="D442" s="82"/>
      <x:c r="E442" s="82"/>
      <x:c r="F442" s="82"/>
      <x:c r="G442" s="82"/>
      <x:c r="H442" s="82"/>
      <x:c r="I442" s="82"/>
      <x:c r="J442" s="82"/>
      <x:c r="K442" s="82"/>
      <x:c r="L442" s="82"/>
    </x:row>
    <x:row r="443">
      <x:c r="A443" s="81"/>
      <x:c r="B443" s="82"/>
      <x:c r="C443" s="82"/>
      <x:c r="D443" s="82"/>
      <x:c r="E443" s="82"/>
      <x:c r="F443" s="82"/>
      <x:c r="G443" s="82"/>
      <x:c r="H443" s="82"/>
      <x:c r="I443" s="82"/>
      <x:c r="J443" s="82"/>
      <x:c r="K443" s="82"/>
      <x:c r="L443" s="82"/>
    </x:row>
    <x:row r="444">
      <x:c r="A444" s="81"/>
      <x:c r="B444" s="82"/>
      <x:c r="C444" s="82"/>
      <x:c r="D444" s="82"/>
      <x:c r="E444" s="82"/>
      <x:c r="F444" s="82"/>
      <x:c r="G444" s="82"/>
      <x:c r="H444" s="82"/>
      <x:c r="I444" s="82"/>
      <x:c r="J444" s="82"/>
      <x:c r="K444" s="82"/>
      <x:c r="L444" s="82"/>
    </x:row>
    <x:row r="445">
      <x:c r="A445" s="81"/>
      <x:c r="B445" s="82"/>
      <x:c r="C445" s="82"/>
      <x:c r="D445" s="82"/>
      <x:c r="E445" s="82"/>
      <x:c r="F445" s="82"/>
      <x:c r="G445" s="82"/>
      <x:c r="H445" s="82"/>
      <x:c r="I445" s="82"/>
      <x:c r="J445" s="82"/>
      <x:c r="K445" s="82"/>
      <x:c r="L445" s="82"/>
    </x:row>
    <x:row r="446">
      <x:c r="A446" s="81"/>
      <x:c r="B446" s="82"/>
      <x:c r="C446" s="82"/>
      <x:c r="D446" s="82"/>
      <x:c r="E446" s="82"/>
      <x:c r="F446" s="82"/>
      <x:c r="G446" s="82"/>
      <x:c r="H446" s="82"/>
      <x:c r="I446" s="82"/>
      <x:c r="J446" s="82"/>
      <x:c r="K446" s="82"/>
      <x:c r="L446" s="82"/>
    </x:row>
    <x:row r="447">
      <x:c r="A447" s="81"/>
      <x:c r="B447" s="82"/>
      <x:c r="C447" s="82"/>
      <x:c r="D447" s="82"/>
      <x:c r="E447" s="82"/>
      <x:c r="F447" s="82"/>
      <x:c r="G447" s="82"/>
      <x:c r="H447" s="82"/>
      <x:c r="I447" s="82"/>
      <x:c r="J447" s="82"/>
      <x:c r="K447" s="82"/>
      <x:c r="L447" s="82"/>
    </x:row>
    <x:row r="448">
      <x:c r="A448" s="81"/>
      <x:c r="B448" s="82"/>
      <x:c r="C448" s="82"/>
      <x:c r="D448" s="82"/>
      <x:c r="E448" s="82"/>
      <x:c r="F448" s="82"/>
      <x:c r="G448" s="82"/>
      <x:c r="H448" s="82"/>
      <x:c r="I448" s="82"/>
      <x:c r="J448" s="82"/>
      <x:c r="K448" s="82"/>
      <x:c r="L448" s="82"/>
    </x:row>
    <x:row r="449">
      <x:c r="A449" s="81"/>
      <x:c r="B449" s="82"/>
      <x:c r="C449" s="82"/>
      <x:c r="D449" s="82"/>
      <x:c r="E449" s="82"/>
      <x:c r="F449" s="82"/>
      <x:c r="G449" s="82"/>
      <x:c r="H449" s="82"/>
      <x:c r="I449" s="82"/>
      <x:c r="J449" s="82"/>
      <x:c r="K449" s="82"/>
      <x:c r="L449" s="82"/>
    </x:row>
    <x:row r="450">
      <x:c r="A450" s="81"/>
      <x:c r="B450" s="82"/>
      <x:c r="C450" s="82"/>
      <x:c r="D450" s="82"/>
      <x:c r="E450" s="82"/>
      <x:c r="F450" s="82"/>
      <x:c r="G450" s="82"/>
      <x:c r="H450" s="82"/>
      <x:c r="I450" s="82"/>
      <x:c r="J450" s="82"/>
      <x:c r="K450" s="82"/>
      <x:c r="L450" s="82"/>
    </x:row>
    <x:row r="451">
      <x:c r="A451" s="81"/>
      <x:c r="B451" s="82"/>
      <x:c r="C451" s="82"/>
      <x:c r="D451" s="82"/>
      <x:c r="E451" s="82"/>
      <x:c r="F451" s="82"/>
      <x:c r="G451" s="82"/>
      <x:c r="H451" s="82"/>
      <x:c r="I451" s="82"/>
      <x:c r="J451" s="82"/>
      <x:c r="K451" s="82"/>
      <x:c r="L451" s="82"/>
    </x:row>
    <x:row r="452">
      <x:c r="A452" s="81"/>
      <x:c r="B452" s="82"/>
      <x:c r="C452" s="82"/>
      <x:c r="D452" s="82"/>
      <x:c r="E452" s="82"/>
      <x:c r="F452" s="82"/>
      <x:c r="G452" s="82"/>
      <x:c r="H452" s="82"/>
      <x:c r="I452" s="82"/>
      <x:c r="J452" s="82"/>
      <x:c r="K452" s="82"/>
      <x:c r="L452" s="82"/>
    </x:row>
    <x:row r="453">
      <x:c r="A453" s="81"/>
      <x:c r="B453" s="82"/>
      <x:c r="C453" s="82"/>
      <x:c r="D453" s="82"/>
      <x:c r="E453" s="82"/>
      <x:c r="F453" s="82"/>
      <x:c r="G453" s="82"/>
      <x:c r="H453" s="82"/>
      <x:c r="I453" s="82"/>
      <x:c r="J453" s="82"/>
      <x:c r="K453" s="82"/>
      <x:c r="L453" s="82"/>
    </x:row>
    <x:row r="454">
      <x:c r="A454" s="81"/>
      <x:c r="B454" s="82"/>
      <x:c r="C454" s="82"/>
      <x:c r="D454" s="82"/>
      <x:c r="E454" s="82"/>
      <x:c r="F454" s="82"/>
      <x:c r="G454" s="82"/>
      <x:c r="H454" s="82"/>
      <x:c r="I454" s="82"/>
      <x:c r="J454" s="82"/>
      <x:c r="K454" s="82"/>
      <x:c r="L454" s="82"/>
    </x:row>
    <x:row r="455">
      <x:c r="A455" s="81"/>
      <x:c r="B455" s="82"/>
      <x:c r="C455" s="82"/>
      <x:c r="D455" s="82"/>
      <x:c r="E455" s="82"/>
      <x:c r="F455" s="82"/>
      <x:c r="G455" s="82"/>
      <x:c r="H455" s="82"/>
      <x:c r="I455" s="82"/>
      <x:c r="J455" s="82"/>
      <x:c r="K455" s="82"/>
      <x:c r="L455" s="82"/>
    </x:row>
    <x:row r="456">
      <x:c r="A456" s="81"/>
      <x:c r="B456" s="82"/>
      <x:c r="C456" s="82"/>
      <x:c r="D456" s="82"/>
      <x:c r="E456" s="82"/>
      <x:c r="F456" s="82"/>
      <x:c r="G456" s="82"/>
      <x:c r="H456" s="82"/>
      <x:c r="I456" s="82"/>
      <x:c r="J456" s="82"/>
      <x:c r="K456" s="82"/>
      <x:c r="L456" s="82"/>
    </x:row>
    <x:row r="457">
      <x:c r="A457" s="81"/>
      <x:c r="B457" s="82"/>
      <x:c r="C457" s="82"/>
      <x:c r="D457" s="82"/>
      <x:c r="E457" s="82"/>
      <x:c r="F457" s="82"/>
      <x:c r="G457" s="82"/>
      <x:c r="H457" s="82"/>
      <x:c r="I457" s="82"/>
      <x:c r="J457" s="82"/>
      <x:c r="K457" s="82"/>
      <x:c r="L457" s="82"/>
    </x:row>
    <x:row r="458">
      <x:c r="A458" s="81"/>
      <x:c r="B458" s="82"/>
      <x:c r="C458" s="82"/>
      <x:c r="D458" s="82"/>
      <x:c r="E458" s="82"/>
      <x:c r="F458" s="82"/>
      <x:c r="G458" s="82"/>
      <x:c r="H458" s="82"/>
      <x:c r="I458" s="82"/>
      <x:c r="J458" s="82"/>
      <x:c r="K458" s="82"/>
      <x:c r="L458" s="82"/>
    </x:row>
    <x:row r="459">
      <x:c r="A459" s="81"/>
      <x:c r="B459" s="82"/>
      <x:c r="C459" s="82"/>
      <x:c r="D459" s="82"/>
      <x:c r="E459" s="82"/>
      <x:c r="F459" s="82"/>
      <x:c r="G459" s="82"/>
      <x:c r="H459" s="82"/>
      <x:c r="I459" s="82"/>
      <x:c r="J459" s="82"/>
      <x:c r="K459" s="82"/>
      <x:c r="L459" s="82"/>
    </x:row>
    <x:row r="460">
      <x:c r="A460" s="81"/>
      <x:c r="B460" s="82"/>
      <x:c r="C460" s="82"/>
      <x:c r="D460" s="82"/>
      <x:c r="E460" s="82"/>
      <x:c r="F460" s="82"/>
      <x:c r="G460" s="82"/>
      <x:c r="H460" s="82"/>
      <x:c r="I460" s="82"/>
      <x:c r="J460" s="82"/>
      <x:c r="K460" s="82"/>
      <x:c r="L460" s="82"/>
    </x:row>
    <x:row r="461">
      <x:c r="A461" s="81"/>
      <x:c r="B461" s="82"/>
      <x:c r="C461" s="82"/>
      <x:c r="D461" s="82"/>
      <x:c r="E461" s="82"/>
      <x:c r="F461" s="82"/>
      <x:c r="G461" s="82"/>
      <x:c r="H461" s="82"/>
      <x:c r="I461" s="82"/>
      <x:c r="J461" s="82"/>
      <x:c r="K461" s="82"/>
      <x:c r="L461" s="82"/>
    </x:row>
    <x:row r="462">
      <x:c r="A462" s="81"/>
      <x:c r="B462" s="82"/>
      <x:c r="C462" s="82"/>
      <x:c r="D462" s="82"/>
      <x:c r="E462" s="82"/>
      <x:c r="F462" s="82"/>
      <x:c r="G462" s="82"/>
      <x:c r="H462" s="82"/>
      <x:c r="I462" s="82"/>
      <x:c r="J462" s="82"/>
      <x:c r="K462" s="82"/>
      <x:c r="L462" s="82"/>
    </x:row>
    <x:row r="463">
      <x:c r="A463" s="81"/>
      <x:c r="B463" s="82"/>
      <x:c r="C463" s="82"/>
      <x:c r="D463" s="82"/>
      <x:c r="E463" s="82"/>
      <x:c r="F463" s="82"/>
      <x:c r="G463" s="82"/>
      <x:c r="H463" s="82"/>
      <x:c r="I463" s="82"/>
      <x:c r="J463" s="82"/>
      <x:c r="K463" s="82"/>
      <x:c r="L463" s="82"/>
    </x:row>
    <x:row r="464">
      <x:c r="A464" s="81"/>
      <x:c r="B464" s="82"/>
      <x:c r="C464" s="82"/>
      <x:c r="D464" s="82"/>
      <x:c r="E464" s="82"/>
      <x:c r="F464" s="82"/>
      <x:c r="G464" s="82"/>
      <x:c r="H464" s="82"/>
      <x:c r="I464" s="82"/>
      <x:c r="J464" s="82"/>
      <x:c r="K464" s="82"/>
      <x:c r="L464" s="82"/>
    </x:row>
    <x:row r="465">
      <x:c r="A465" s="81"/>
      <x:c r="B465" s="82"/>
      <x:c r="C465" s="82"/>
      <x:c r="D465" s="82"/>
      <x:c r="E465" s="82"/>
      <x:c r="F465" s="82"/>
      <x:c r="G465" s="82"/>
      <x:c r="H465" s="82"/>
      <x:c r="I465" s="82"/>
      <x:c r="J465" s="82"/>
      <x:c r="K465" s="82"/>
      <x:c r="L465" s="82"/>
    </x:row>
    <x:row r="466">
      <x:c r="A466" s="81"/>
      <x:c r="B466" s="82"/>
      <x:c r="C466" s="82"/>
      <x:c r="D466" s="82"/>
      <x:c r="E466" s="82"/>
      <x:c r="F466" s="82"/>
      <x:c r="G466" s="82"/>
      <x:c r="H466" s="82"/>
      <x:c r="I466" s="82"/>
      <x:c r="J466" s="82"/>
      <x:c r="K466" s="82"/>
      <x:c r="L466" s="82"/>
    </x:row>
    <x:row r="467">
      <x:c r="A467" s="81"/>
      <x:c r="B467" s="82"/>
      <x:c r="C467" s="82"/>
      <x:c r="D467" s="82"/>
      <x:c r="E467" s="82"/>
      <x:c r="F467" s="82"/>
      <x:c r="G467" s="82"/>
      <x:c r="H467" s="82"/>
      <x:c r="I467" s="82"/>
      <x:c r="J467" s="82"/>
      <x:c r="K467" s="82"/>
      <x:c r="L467" s="82"/>
    </x:row>
    <x:row r="468">
      <x:c r="A468" s="81"/>
      <x:c r="B468" s="82"/>
      <x:c r="C468" s="82"/>
      <x:c r="D468" s="82"/>
      <x:c r="E468" s="82"/>
      <x:c r="F468" s="82"/>
      <x:c r="G468" s="82"/>
      <x:c r="H468" s="82"/>
      <x:c r="I468" s="82"/>
      <x:c r="J468" s="82"/>
      <x:c r="K468" s="82"/>
      <x:c r="L468" s="82"/>
    </x:row>
    <x:row r="469">
      <x:c r="A469" s="81"/>
      <x:c r="B469" s="82"/>
      <x:c r="C469" s="82"/>
      <x:c r="D469" s="82"/>
      <x:c r="E469" s="82"/>
      <x:c r="F469" s="82"/>
      <x:c r="G469" s="82"/>
      <x:c r="H469" s="82"/>
      <x:c r="I469" s="82"/>
      <x:c r="J469" s="82"/>
      <x:c r="K469" s="82"/>
      <x:c r="L469" s="82"/>
    </x:row>
    <x:row r="470">
      <x:c r="A470" s="81"/>
      <x:c r="B470" s="82"/>
      <x:c r="C470" s="82"/>
      <x:c r="D470" s="82"/>
      <x:c r="E470" s="82"/>
      <x:c r="F470" s="82"/>
      <x:c r="G470" s="82"/>
      <x:c r="H470" s="82"/>
      <x:c r="I470" s="82"/>
      <x:c r="J470" s="82"/>
      <x:c r="K470" s="82"/>
      <x:c r="L470" s="82"/>
    </x:row>
    <x:row r="471">
      <x:c r="A471" s="81"/>
      <x:c r="B471" s="82"/>
      <x:c r="C471" s="82"/>
      <x:c r="D471" s="82"/>
      <x:c r="E471" s="82"/>
      <x:c r="F471" s="82"/>
      <x:c r="G471" s="82"/>
      <x:c r="H471" s="82"/>
      <x:c r="I471" s="82"/>
      <x:c r="J471" s="82"/>
      <x:c r="K471" s="82"/>
      <x:c r="L471" s="82"/>
    </x:row>
    <x:row r="472">
      <x:c r="A472" s="81"/>
      <x:c r="B472" s="82"/>
      <x:c r="C472" s="82"/>
      <x:c r="D472" s="82"/>
      <x:c r="E472" s="82"/>
      <x:c r="F472" s="82"/>
      <x:c r="G472" s="82"/>
      <x:c r="H472" s="82"/>
      <x:c r="I472" s="82"/>
      <x:c r="J472" s="82"/>
      <x:c r="K472" s="82"/>
      <x:c r="L472" s="82"/>
    </x:row>
    <x:row r="473">
      <x:c r="A473" s="81"/>
      <x:c r="B473" s="82"/>
      <x:c r="C473" s="82"/>
      <x:c r="D473" s="82"/>
      <x:c r="E473" s="82"/>
      <x:c r="F473" s="82"/>
      <x:c r="G473" s="82"/>
      <x:c r="H473" s="82"/>
      <x:c r="I473" s="82"/>
      <x:c r="J473" s="82"/>
      <x:c r="K473" s="82"/>
      <x:c r="L473" s="82"/>
    </x:row>
    <x:row r="474">
      <x:c r="A474" s="81"/>
      <x:c r="B474" s="82"/>
      <x:c r="C474" s="82"/>
      <x:c r="D474" s="82"/>
      <x:c r="E474" s="82"/>
      <x:c r="F474" s="82"/>
      <x:c r="G474" s="82"/>
      <x:c r="H474" s="82"/>
      <x:c r="I474" s="82"/>
      <x:c r="J474" s="82"/>
      <x:c r="K474" s="82"/>
      <x:c r="L474" s="82"/>
    </x:row>
    <x:row r="475">
      <x:c r="A475" s="81"/>
      <x:c r="B475" s="82"/>
      <x:c r="C475" s="82"/>
      <x:c r="D475" s="82"/>
      <x:c r="E475" s="82"/>
      <x:c r="F475" s="82"/>
      <x:c r="G475" s="82"/>
      <x:c r="H475" s="82"/>
      <x:c r="I475" s="82"/>
      <x:c r="J475" s="82"/>
      <x:c r="K475" s="82"/>
      <x:c r="L475" s="82"/>
    </x:row>
    <x:row r="476">
      <x:c r="A476" s="81"/>
      <x:c r="B476" s="82"/>
      <x:c r="C476" s="82"/>
      <x:c r="D476" s="82"/>
      <x:c r="E476" s="82"/>
      <x:c r="F476" s="82"/>
      <x:c r="G476" s="82"/>
      <x:c r="H476" s="82"/>
      <x:c r="I476" s="82"/>
      <x:c r="J476" s="82"/>
      <x:c r="K476" s="82"/>
      <x:c r="L476" s="82"/>
    </x:row>
    <x:row r="477">
      <x:c r="A477" s="81"/>
      <x:c r="B477" s="82"/>
      <x:c r="C477" s="82"/>
      <x:c r="D477" s="82"/>
      <x:c r="E477" s="82"/>
      <x:c r="F477" s="82"/>
      <x:c r="G477" s="82"/>
      <x:c r="H477" s="82"/>
      <x:c r="I477" s="82"/>
      <x:c r="J477" s="82"/>
      <x:c r="K477" s="82"/>
      <x:c r="L477" s="82"/>
    </x:row>
    <x:row r="478">
      <x:c r="A478" s="81"/>
      <x:c r="B478" s="82"/>
      <x:c r="C478" s="82"/>
      <x:c r="D478" s="82"/>
      <x:c r="E478" s="82"/>
      <x:c r="F478" s="82"/>
      <x:c r="G478" s="82"/>
      <x:c r="H478" s="82"/>
      <x:c r="I478" s="82"/>
      <x:c r="J478" s="82"/>
      <x:c r="K478" s="82"/>
      <x:c r="L478" s="82"/>
    </x:row>
    <x:row r="479">
      <x:c r="A479" s="81"/>
      <x:c r="B479" s="82"/>
      <x:c r="C479" s="82"/>
      <x:c r="D479" s="82"/>
      <x:c r="E479" s="82"/>
      <x:c r="F479" s="82"/>
      <x:c r="G479" s="82"/>
      <x:c r="H479" s="82"/>
      <x:c r="I479" s="82"/>
      <x:c r="J479" s="82"/>
      <x:c r="K479" s="82"/>
      <x:c r="L479" s="82"/>
    </x:row>
    <x:row r="480">
      <x:c r="A480" s="81"/>
      <x:c r="B480" s="82"/>
      <x:c r="C480" s="82"/>
      <x:c r="D480" s="82"/>
      <x:c r="E480" s="82"/>
      <x:c r="F480" s="82"/>
      <x:c r="G480" s="82"/>
      <x:c r="H480" s="82"/>
      <x:c r="I480" s="82"/>
      <x:c r="J480" s="82"/>
      <x:c r="K480" s="82"/>
      <x:c r="L480" s="82"/>
    </x:row>
    <x:row r="481">
      <x:c r="A481" s="81"/>
      <x:c r="B481" s="82"/>
      <x:c r="C481" s="82"/>
      <x:c r="D481" s="82"/>
      <x:c r="E481" s="82"/>
      <x:c r="F481" s="82"/>
      <x:c r="G481" s="82"/>
      <x:c r="H481" s="82"/>
      <x:c r="I481" s="82"/>
      <x:c r="J481" s="82"/>
      <x:c r="K481" s="82"/>
      <x:c r="L481" s="82"/>
    </x:row>
    <x:row r="482">
      <x:c r="A482" s="81"/>
      <x:c r="B482" s="82"/>
      <x:c r="C482" s="82"/>
      <x:c r="D482" s="82"/>
      <x:c r="E482" s="82"/>
      <x:c r="F482" s="82"/>
      <x:c r="G482" s="82"/>
      <x:c r="H482" s="82"/>
      <x:c r="I482" s="82"/>
      <x:c r="J482" s="82"/>
      <x:c r="K482" s="82"/>
      <x:c r="L482" s="82"/>
    </x:row>
    <x:row r="483">
      <x:c r="A483" s="81"/>
      <x:c r="B483" s="82"/>
      <x:c r="C483" s="82"/>
      <x:c r="D483" s="82"/>
      <x:c r="E483" s="82"/>
      <x:c r="F483" s="82"/>
      <x:c r="G483" s="82"/>
      <x:c r="H483" s="82"/>
      <x:c r="I483" s="82"/>
      <x:c r="J483" s="82"/>
      <x:c r="K483" s="82"/>
      <x:c r="L483" s="82"/>
    </x:row>
    <x:row r="484">
      <x:c r="A484" s="81"/>
      <x:c r="B484" s="82"/>
      <x:c r="C484" s="82"/>
      <x:c r="D484" s="82"/>
      <x:c r="E484" s="82"/>
      <x:c r="F484" s="82"/>
      <x:c r="G484" s="82"/>
      <x:c r="H484" s="82"/>
      <x:c r="I484" s="82"/>
      <x:c r="J484" s="82"/>
      <x:c r="K484" s="82"/>
      <x:c r="L484" s="82"/>
    </x:row>
    <x:row r="485">
      <x:c r="A485" s="81"/>
      <x:c r="B485" s="82"/>
      <x:c r="C485" s="82"/>
      <x:c r="D485" s="82"/>
      <x:c r="E485" s="82"/>
      <x:c r="F485" s="82"/>
      <x:c r="G485" s="82"/>
      <x:c r="H485" s="82"/>
      <x:c r="I485" s="82"/>
      <x:c r="J485" s="82"/>
      <x:c r="K485" s="82"/>
      <x:c r="L485" s="82"/>
    </x:row>
    <x:row r="486">
      <x:c r="A486" s="81"/>
      <x:c r="B486" s="82"/>
      <x:c r="C486" s="82"/>
      <x:c r="D486" s="82"/>
      <x:c r="E486" s="82"/>
      <x:c r="F486" s="82"/>
      <x:c r="G486" s="82"/>
      <x:c r="H486" s="82"/>
      <x:c r="I486" s="82"/>
      <x:c r="J486" s="82"/>
      <x:c r="K486" s="82"/>
      <x:c r="L486" s="82"/>
    </x:row>
    <x:row r="487">
      <x:c r="A487" s="81"/>
      <x:c r="B487" s="82"/>
      <x:c r="C487" s="82"/>
      <x:c r="D487" s="82"/>
      <x:c r="E487" s="82"/>
      <x:c r="F487" s="82"/>
      <x:c r="G487" s="82"/>
      <x:c r="H487" s="82"/>
      <x:c r="I487" s="82"/>
      <x:c r="J487" s="82"/>
      <x:c r="K487" s="82"/>
      <x:c r="L487" s="82"/>
    </x:row>
    <x:row r="488">
      <x:c r="A488" s="81"/>
      <x:c r="B488" s="82"/>
      <x:c r="C488" s="82"/>
      <x:c r="D488" s="82"/>
      <x:c r="E488" s="82"/>
      <x:c r="F488" s="82"/>
      <x:c r="G488" s="82"/>
      <x:c r="H488" s="82"/>
      <x:c r="I488" s="82"/>
      <x:c r="J488" s="82"/>
      <x:c r="K488" s="82"/>
      <x:c r="L488" s="82"/>
    </x:row>
    <x:row r="489">
      <x:c r="A489" s="81"/>
      <x:c r="B489" s="82"/>
      <x:c r="C489" s="82"/>
      <x:c r="D489" s="82"/>
      <x:c r="E489" s="82"/>
      <x:c r="F489" s="82"/>
      <x:c r="G489" s="82"/>
      <x:c r="H489" s="82"/>
      <x:c r="I489" s="82"/>
      <x:c r="J489" s="82"/>
      <x:c r="K489" s="82"/>
      <x:c r="L489" s="82"/>
    </x:row>
    <x:row r="490">
      <x:c r="A490" s="81"/>
      <x:c r="B490" s="82"/>
      <x:c r="C490" s="82"/>
      <x:c r="D490" s="82"/>
      <x:c r="E490" s="82"/>
      <x:c r="F490" s="82"/>
      <x:c r="G490" s="82"/>
      <x:c r="H490" s="82"/>
      <x:c r="I490" s="82"/>
      <x:c r="J490" s="82"/>
      <x:c r="K490" s="82"/>
      <x:c r="L490" s="82"/>
    </x:row>
    <x:row r="491">
      <x:c r="A491" s="81"/>
      <x:c r="B491" s="82"/>
      <x:c r="C491" s="82"/>
      <x:c r="D491" s="82"/>
      <x:c r="E491" s="82"/>
      <x:c r="F491" s="82"/>
      <x:c r="G491" s="82"/>
      <x:c r="H491" s="82"/>
      <x:c r="I491" s="82"/>
      <x:c r="J491" s="82"/>
      <x:c r="K491" s="82"/>
      <x:c r="L491" s="82"/>
    </x:row>
    <x:row r="492">
      <x:c r="A492" s="81"/>
      <x:c r="B492" s="82"/>
      <x:c r="C492" s="82"/>
      <x:c r="D492" s="82"/>
      <x:c r="E492" s="82"/>
      <x:c r="F492" s="82"/>
      <x:c r="G492" s="82"/>
      <x:c r="H492" s="82"/>
      <x:c r="I492" s="82"/>
      <x:c r="J492" s="82"/>
      <x:c r="K492" s="82"/>
      <x:c r="L492" s="82"/>
    </x:row>
    <x:row r="493">
      <x:c r="A493" s="81"/>
      <x:c r="B493" s="82"/>
      <x:c r="C493" s="82"/>
      <x:c r="D493" s="82"/>
      <x:c r="E493" s="82"/>
      <x:c r="F493" s="82"/>
      <x:c r="G493" s="82"/>
      <x:c r="H493" s="82"/>
      <x:c r="I493" s="82"/>
      <x:c r="J493" s="82"/>
      <x:c r="K493" s="82"/>
      <x:c r="L493" s="82"/>
    </x:row>
    <x:row r="494">
      <x:c r="A494" s="81"/>
      <x:c r="B494" s="82"/>
      <x:c r="C494" s="82"/>
      <x:c r="D494" s="82"/>
      <x:c r="E494" s="82"/>
      <x:c r="F494" s="82"/>
      <x:c r="G494" s="82"/>
      <x:c r="H494" s="82"/>
      <x:c r="I494" s="82"/>
      <x:c r="J494" s="82"/>
      <x:c r="K494" s="82"/>
      <x:c r="L494" s="82"/>
    </x:row>
    <x:row r="495">
      <x:c r="A495" s="81"/>
      <x:c r="B495" s="82"/>
      <x:c r="C495" s="82"/>
      <x:c r="D495" s="82"/>
      <x:c r="E495" s="82"/>
      <x:c r="F495" s="82"/>
      <x:c r="G495" s="82"/>
      <x:c r="H495" s="82"/>
      <x:c r="I495" s="82"/>
      <x:c r="J495" s="82"/>
      <x:c r="K495" s="82"/>
      <x:c r="L495" s="82"/>
    </x:row>
    <x:row r="496">
      <x:c r="A496" s="81"/>
      <x:c r="B496" s="82"/>
      <x:c r="C496" s="82"/>
      <x:c r="D496" s="82"/>
      <x:c r="E496" s="82"/>
      <x:c r="F496" s="82"/>
      <x:c r="G496" s="82"/>
      <x:c r="H496" s="82"/>
      <x:c r="I496" s="82"/>
      <x:c r="J496" s="82"/>
      <x:c r="K496" s="82"/>
      <x:c r="L496" s="82"/>
    </x:row>
    <x:row r="497">
      <x:c r="A497" s="81"/>
      <x:c r="B497" s="82"/>
      <x:c r="C497" s="82"/>
      <x:c r="D497" s="82"/>
      <x:c r="E497" s="82"/>
      <x:c r="F497" s="82"/>
      <x:c r="G497" s="82"/>
      <x:c r="H497" s="82"/>
      <x:c r="I497" s="82"/>
      <x:c r="J497" s="82"/>
      <x:c r="K497" s="82"/>
      <x:c r="L497" s="82"/>
    </x:row>
    <x:row r="498">
      <x:c r="A498" s="81"/>
      <x:c r="B498" s="82"/>
      <x:c r="C498" s="82"/>
      <x:c r="D498" s="82"/>
      <x:c r="E498" s="82"/>
      <x:c r="F498" s="82"/>
      <x:c r="G498" s="82"/>
      <x:c r="H498" s="82"/>
      <x:c r="I498" s="82"/>
      <x:c r="J498" s="82"/>
      <x:c r="K498" s="82"/>
      <x:c r="L498" s="82"/>
    </x:row>
    <x:row r="499">
      <x:c r="A499" s="81"/>
      <x:c r="B499" s="82"/>
      <x:c r="C499" s="82"/>
      <x:c r="D499" s="82"/>
      <x:c r="E499" s="82"/>
      <x:c r="F499" s="82"/>
      <x:c r="G499" s="82"/>
      <x:c r="H499" s="82"/>
      <x:c r="I499" s="82"/>
      <x:c r="J499" s="82"/>
      <x:c r="K499" s="82"/>
      <x:c r="L499" s="82"/>
    </x:row>
    <x:row r="500">
      <x:c r="A500" s="81"/>
      <x:c r="B500" s="82"/>
      <x:c r="C500" s="82"/>
      <x:c r="D500" s="82"/>
      <x:c r="E500" s="82"/>
      <x:c r="F500" s="82"/>
      <x:c r="G500" s="82"/>
      <x:c r="H500" s="82"/>
      <x:c r="I500" s="82"/>
      <x:c r="J500" s="82"/>
      <x:c r="K500" s="82"/>
      <x:c r="L500" s="82"/>
    </x:row>
    <x:row r="501">
      <x:c r="A501" s="81"/>
      <x:c r="B501" s="82"/>
      <x:c r="C501" s="82"/>
      <x:c r="D501" s="82"/>
      <x:c r="E501" s="82"/>
      <x:c r="F501" s="82"/>
      <x:c r="G501" s="82"/>
      <x:c r="H501" s="82"/>
      <x:c r="I501" s="82"/>
      <x:c r="J501" s="82"/>
      <x:c r="K501" s="82"/>
      <x:c r="L501" s="82"/>
    </x:row>
  </x:sheetData>
  <x:dataValidations count="6">
    <x:dataValidation type="list" sqref="C2:C501">
      <x:formula1>"Enrique César,Nancy Rodríguez,Vanessa Carreño,Veronica García,Yazmin Chabela,Yazmin García"</x:formula1>
    </x:dataValidation>
    <x:dataValidation type="list" sqref="F2:F501">
      <x:formula1>"Ciudad De México,Estado De México"</x:formula1>
    </x:dataValidation>
    <x:dataValidation type="list" sqref="G2:G501">
      <x:formula1>"Cafe,Drive_Thru,Kiosko"</x:formula1>
    </x:dataValidation>
    <x:dataValidation type="list" sqref="H2:H501">
      <x:formula1>"Education,Health Care,Highway,Hypermarket,Main Avenues,Mall,Neighborhood,Shopping Center,Street,Train &amp; Bus Stations"</x:formula1>
    </x:dataValidation>
    <x:dataValidation type="list" sqref="I2:I501">
      <x:formula1>"C1,C2"</x:formula1>
    </x:dataValidation>
    <x:dataValidation type="list" sqref="L2:L501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5d52fc49d240d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6" hidden="0" customWidth="1"/>
    <x:col min="20" max="20" width="16" hidden="0" customWidth="1"/>
  </x:cols>
  <x:sheetData>
    <x:row r="1" ht="42" customHeight="1">
      <x:c r="A1" s="12" t="str">
        <x:v>CC</x:v>
      </x:c>
      <x:c r="B1" s="12" t="str">
        <x:v>Corte YTD</x:v>
      </x:c>
      <x:c r="C1" s="12" t="str">
        <x:v>Rolling</x:v>
      </x:c>
      <x:c r="D1" s="12" t="str">
        <x:v>TPLH</x:v>
      </x:c>
      <x:c r="E1" s="12" t="str">
        <x:v>IPLH</x:v>
      </x:c>
      <x:c r="F1" s="12" t="str">
        <x:v>Labor</x:v>
      </x:c>
      <x:c r="G1" s="12" t="str">
        <x:v>Dif Labor</x:v>
      </x:c>
      <x:c r="H1" s="12" t="str">
        <x:v>Ventas MXN</x:v>
      </x:c>
      <x:c r="I1" s="12" t="str">
        <x:v>Dif Ppto</x:v>
      </x:c>
      <x:c r="J1" s="12" t="str">
        <x:v>OMT</x:v>
      </x:c>
      <x:c r="K1" s="12" t="str">
        <x:v>NPS</x:v>
      </x:c>
      <x:c r="L1" s="12" t="str">
        <x:v>Conexión</x:v>
      </x:c>
      <x:c r="M1" s="12" t="str">
        <x:v>Bebida</x:v>
      </x:c>
      <x:c r="N1" s="12" t="str">
        <x:v>CTC</x:v>
      </x:c>
      <x:c r="O1" s="12" t="str">
        <x:v>Costo</x:v>
      </x:c>
      <x:c r="P1" s="12" t="str">
        <x:v>Dif Costo</x:v>
      </x:c>
      <x:c r="Q1" s="12" t="str">
        <x:v>EBITDA</x:v>
      </x:c>
      <x:c r="R1" s="12" t="str">
        <x:v>Dif EBITDA</x:v>
      </x:c>
      <x:c r="S1" s="12" t="str">
        <x:v>DT Time</x:v>
      </x:c>
      <x:c r="T1" s="12" t="str">
        <x:v>Tiempo DT AA</x:v>
      </x:c>
    </x:row>
    <x:row r="2">
      <x:c r="A2" s="70" t="str">
        <x:v>38401</x:v>
      </x:c>
      <x:c r="B2" s="83" t="n">
        <x:v>46142.75</x:v>
      </x:c>
      <x:c r="C2" s="84" t="n">
        <x:v>0.327</x:v>
      </x:c>
      <x:c r="D2" s="86" t="n">
        <x:v>5.7</x:v>
      </x:c>
      <x:c r="E2" s="86" t="n">
        <x:v>14.9</x:v>
      </x:c>
      <x:c r="F2" s="84" t="n">
        <x:v>0.162</x:v>
      </x:c>
      <x:c r="G2" s="84" t="n">
        <x:v>0.013000000000000001</x:v>
      </x:c>
      <x:c r="H2" s="85" t="n">
        <x:v>4400000</x:v>
      </x:c>
      <x:c r="I2" s="84" t="n">
        <x:v>-0.08800000000000001</x:v>
      </x:c>
      <x:c r="J2" s="86" t="n">
        <x:v>-18.5</x:v>
      </x:c>
      <x:c r="K2" s="86" t="n">
        <x:v>89.9</x:v>
      </x:c>
      <x:c r="L2" s="84" t="n">
        <x:v>0.6970000000000001</x:v>
      </x:c>
      <x:c r="M2" s="84" t="n">
        <x:v>0.75</x:v>
      </x:c>
      <x:c r="N2" s="84" t="n">
        <x:v>0.146</x:v>
      </x:c>
      <x:c r="O2" s="84" t="n">
        <x:v>0.36700000000000005</x:v>
      </x:c>
      <x:c r="P2" s="84" t="n">
        <x:v>-0.008</x:v>
      </x:c>
      <x:c r="Q2" s="84" t="n">
        <x:v>0.16399999999999998</x:v>
      </x:c>
      <x:c r="R2" s="84" t="n">
        <x:v>-0.037000000000000005</x:v>
      </x:c>
      <x:c r="S2"/>
      <x:c r="T2"/>
    </x:row>
    <x:row r="3">
      <x:c r="A3" s="70" t="str">
        <x:v>38604</x:v>
      </x:c>
      <x:c r="B3" s="83" t="n">
        <x:v>46142.75</x:v>
      </x:c>
      <x:c r="C3" s="84" t="n">
        <x:v>0.237</x:v>
      </x:c>
      <x:c r="D3" s="86" t="n">
        <x:v>5.8</x:v>
      </x:c>
      <x:c r="E3" s="86" t="n">
        <x:v>15.2</x:v>
      </x:c>
      <x:c r="F3" s="84" t="n">
        <x:v>0.145</x:v>
      </x:c>
      <x:c r="G3" s="84" t="n">
        <x:v>0.017</x:v>
      </x:c>
      <x:c r="H3" s="85" t="n">
        <x:v>8100000</x:v>
      </x:c>
      <x:c r="I3" s="84" t="n">
        <x:v>-0.16899999999999998</x:v>
      </x:c>
      <x:c r="J3" s="86" t="n">
        <x:v>-55.8</x:v>
      </x:c>
      <x:c r="K3" s="86" t="n">
        <x:v>81.4</x:v>
      </x:c>
      <x:c r="L3" s="84" t="n">
        <x:v>0.64</x:v>
      </x:c>
      <x:c r="M3" s="84" t="n">
        <x:v>0.65</x:v>
      </x:c>
      <x:c r="N3" s="84" t="n">
        <x:v>0.086</x:v>
      </x:c>
      <x:c r="O3" s="84" t="n">
        <x:v>0.363</x:v>
      </x:c>
      <x:c r="P3" s="84" t="n">
        <x:v>-0.002</x:v>
      </x:c>
      <x:c r="Q3" s="84" t="n">
        <x:v>0.22399999999999998</x:v>
      </x:c>
      <x:c r="R3" s="84" t="n">
        <x:v>-0.047</x:v>
      </x:c>
      <x:c r="S3"/>
      <x:c r="T3"/>
    </x:row>
    <x:row r="4">
      <x:c r="A4" s="70" t="str">
        <x:v>43193</x:v>
      </x:c>
      <x:c r="B4" s="83" t="n">
        <x:v>46142.75</x:v>
      </x:c>
      <x:c r="C4" s="84" t="n">
        <x:v>0</x:v>
      </x:c>
      <x:c r="D4" s="86" t="n">
        <x:v>5.8</x:v>
      </x:c>
      <x:c r="E4" s="86" t="n">
        <x:v>13.5</x:v>
      </x:c>
      <x:c r="F4" s="84" t="n">
        <x:v>0.177</x:v>
      </x:c>
      <x:c r="G4" s="84" t="n">
        <x:v>-0.043</x:v>
      </x:c>
      <x:c r="H4" s="85" t="n">
        <x:v>3500000</x:v>
      </x:c>
      <x:c r="I4" s="84" t="n">
        <x:v>0.012</x:v>
      </x:c>
      <x:c r="J4" s="86" t="n">
        <x:v>185.7</x:v>
      </x:c>
      <x:c r="K4" s="86" t="n">
        <x:v>84.1</x:v>
      </x:c>
      <x:c r="L4" s="84" t="n">
        <x:v>0.764</x:v>
      </x:c>
      <x:c r="M4" s="84" t="n">
        <x:v>0.73</x:v>
      </x:c>
      <x:c r="N4" s="84" t="n">
        <x:v>0.06</x:v>
      </x:c>
      <x:c r="O4" s="84" t="n">
        <x:v>0.37799999999999995</x:v>
      </x:c>
      <x:c r="P4" s="84" t="n">
        <x:v>0.049</x:v>
      </x:c>
      <x:c r="Q4" s="84" t="n">
        <x:v>0.126</x:v>
      </x:c>
      <x:c r="R4" s="84" t="n">
        <x:v>-0.149</x:v>
      </x:c>
      <x:c r="S4"/>
      <x:c r="T4"/>
    </x:row>
    <x:row r="5">
      <x:c r="A5" s="70" t="str">
        <x:v>38333</x:v>
      </x:c>
      <x:c r="B5" s="83" t="n">
        <x:v>46142.75</x:v>
      </x:c>
      <x:c r="C5" s="84" t="n">
        <x:v>0.217</x:v>
      </x:c>
      <x:c r="D5" s="86" t="n">
        <x:v>6.8</x:v>
      </x:c>
      <x:c r="E5" s="86" t="n">
        <x:v>17.4</x:v>
      </x:c>
      <x:c r="F5" s="84" t="n">
        <x:v>0.135</x:v>
      </x:c>
      <x:c r="G5" s="84" t="n">
        <x:v>-0.001</x:v>
      </x:c>
      <x:c r="H5" s="85" t="n">
        <x:v>9400000</x:v>
      </x:c>
      <x:c r="I5" s="84" t="n">
        <x:v>-0.085</x:v>
      </x:c>
      <x:c r="J5" s="86" t="n">
        <x:v>-37.2</x:v>
      </x:c>
      <x:c r="K5" s="86" t="n">
        <x:v>62.6</x:v>
      </x:c>
      <x:c r="L5" s="84" t="n">
        <x:v>0.46399999999999997</x:v>
      </x:c>
      <x:c r="M5" s="84" t="n">
        <x:v>0.6</x:v>
      </x:c>
      <x:c r="N5" s="84" t="n">
        <x:v>0.111</x:v>
      </x:c>
      <x:c r="O5" s="84" t="n">
        <x:v>0.349</x:v>
      </x:c>
      <x:c r="P5" s="84" t="n">
        <x:v>-0.009000000000000001</x:v>
      </x:c>
      <x:c r="Q5" s="84" t="n">
        <x:v>0.253</x:v>
      </x:c>
      <x:c r="R5" s="84" t="n">
        <x:v>-0.003</x:v>
      </x:c>
      <x:c r="S5"/>
      <x:c r="T5"/>
    </x:row>
    <x:row r="6">
      <x:c r="A6" s="70" t="str">
        <x:v>38368</x:v>
      </x:c>
      <x:c r="B6" s="83" t="n">
        <x:v>46142.75</x:v>
      </x:c>
      <x:c r="C6" s="84" t="n">
        <x:v>0.32899999999999996</x:v>
      </x:c>
      <x:c r="D6" s="86" t="n">
        <x:v>6.7</x:v>
      </x:c>
      <x:c r="E6" s="86" t="n">
        <x:v>16.1</x:v>
      </x:c>
      <x:c r="F6" s="84" t="n">
        <x:v>0.14300000000000002</x:v>
      </x:c>
      <x:c r="G6" s="84" t="n">
        <x:v>0.013999999999999999</x:v>
      </x:c>
      <x:c r="H6" s="85" t="n">
        <x:v>8300000.000000001</x:v>
      </x:c>
      <x:c r="I6" s="84" t="n">
        <x:v>-0.102</x:v>
      </x:c>
      <x:c r="J6" s="86" t="n">
        <x:v>1.7</x:v>
      </x:c>
      <x:c r="K6" s="86" t="n">
        <x:v>68.5</x:v>
      </x:c>
      <x:c r="L6" s="84" t="n">
        <x:v>0.474</x:v>
      </x:c>
      <x:c r="M6" s="84" t="n">
        <x:v>0.62</x:v>
      </x:c>
      <x:c r="N6" s="84" t="n">
        <x:v>0.07400000000000001</x:v>
      </x:c>
      <x:c r="O6" s="84" t="n">
        <x:v>0.34700000000000003</x:v>
      </x:c>
      <x:c r="P6" s="84" t="n">
        <x:v>-0.006999999999999999</x:v>
      </x:c>
      <x:c r="Q6" s="84" t="n">
        <x:v>0.272</x:v>
      </x:c>
      <x:c r="R6" s="84" t="n">
        <x:v>-0.021</x:v>
      </x:c>
      <x:c r="S6"/>
      <x:c r="T6"/>
    </x:row>
    <x:row r="7">
      <x:c r="A7" s="70" t="str">
        <x:v>38515</x:v>
      </x:c>
      <x:c r="B7" s="83" t="n">
        <x:v>46142.75</x:v>
      </x:c>
      <x:c r="C7" s="84" t="n">
        <x:v>0.34299999999999997</x:v>
      </x:c>
      <x:c r="D7" s="86" t="n">
        <x:v>6</x:v>
      </x:c>
      <x:c r="E7" s="86" t="n">
        <x:v>16.1</x:v>
      </x:c>
      <x:c r="F7" s="84" t="n">
        <x:v>0.15</x:v>
      </x:c>
      <x:c r="G7" s="84" t="n">
        <x:v>-0.016</x:v>
      </x:c>
      <x:c r="H7" s="85" t="n">
        <x:v>7200000</x:v>
      </x:c>
      <x:c r="I7" s="84" t="n">
        <x:v>0.034</x:v>
      </x:c>
      <x:c r="J7" s="86" t="n">
        <x:v>2.5</x:v>
      </x:c>
      <x:c r="K7" s="86" t="n">
        <x:v>74.2</x:v>
      </x:c>
      <x:c r="L7" s="84" t="n">
        <x:v>0.568</x:v>
      </x:c>
      <x:c r="M7" s="84" t="n">
        <x:v>0.59</x:v>
      </x:c>
      <x:c r="N7" s="84" t="n">
        <x:v>0.124</x:v>
      </x:c>
      <x:c r="O7" s="84" t="n">
        <x:v>0.374</x:v>
      </x:c>
      <x:c r="P7" s="84" t="n">
        <x:v>-0.013999999999999999</x:v>
      </x:c>
      <x:c r="Q7" s="84" t="n">
        <x:v>0.203</x:v>
      </x:c>
      <x:c r="R7" s="84" t="n">
        <x:v>0.026000000000000002</x:v>
      </x:c>
      <x:c r="S7"/>
      <x:c r="T7"/>
    </x:row>
    <x:row r="8">
      <x:c r="A8" s="70" t="str">
        <x:v>38456</x:v>
      </x:c>
      <x:c r="B8" s="83" t="n">
        <x:v>46142.75</x:v>
      </x:c>
      <x:c r="C8" s="84" t="n">
        <x:v>0.332</x:v>
      </x:c>
      <x:c r="D8" s="86" t="n">
        <x:v>6</x:v>
      </x:c>
      <x:c r="E8" s="86" t="n">
        <x:v>15.8</x:v>
      </x:c>
      <x:c r="F8" s="84" t="n">
        <x:v>0.146</x:v>
      </x:c>
      <x:c r="G8" s="84" t="n">
        <x:v>-0.013999999999999999</x:v>
      </x:c>
      <x:c r="H8" s="85" t="n">
        <x:v>6300000</x:v>
      </x:c>
      <x:c r="I8" s="84" t="n">
        <x:v>0.024</x:v>
      </x:c>
      <x:c r="J8" s="86" t="n">
        <x:v>-27.1</x:v>
      </x:c>
      <x:c r="K8" s="86" t="n">
        <x:v>75.2</x:v>
      </x:c>
      <x:c r="L8" s="84" t="n">
        <x:v>0.5770000000000001</x:v>
      </x:c>
      <x:c r="M8" s="84" t="n">
        <x:v>0.73</x:v>
      </x:c>
      <x:c r="N8" s="84" t="n">
        <x:v>0.171</x:v>
      </x:c>
      <x:c r="O8" s="84" t="n">
        <x:v>0.35100000000000003</x:v>
      </x:c>
      <x:c r="P8" s="84" t="n">
        <x:v>-0.002</x:v>
      </x:c>
      <x:c r="Q8" s="84" t="n">
        <x:v>0.26</x:v>
      </x:c>
      <x:c r="R8" s="84" t="n">
        <x:v>0.027999999999999997</x:v>
      </x:c>
      <x:c r="S8"/>
      <x:c r="T8"/>
    </x:row>
    <x:row r="9">
      <x:c r="A9" s="70" t="str">
        <x:v>38339</x:v>
      </x:c>
      <x:c r="B9" s="83" t="n">
        <x:v>46142.75</x:v>
      </x:c>
      <x:c r="C9" s="84" t="n">
        <x:v>0.29600000000000004</x:v>
      </x:c>
      <x:c r="D9" s="86" t="n">
        <x:v>5.9</x:v>
      </x:c>
      <x:c r="E9" s="86" t="n">
        <x:v>15.2</x:v>
      </x:c>
      <x:c r="F9" s="84" t="n">
        <x:v>0.13699999999999998</x:v>
      </x:c>
      <x:c r="G9" s="84" t="n">
        <x:v>0.01</x:v>
      </x:c>
      <x:c r="H9" s="85" t="n">
        <x:v>8300000.000000001</x:v>
      </x:c>
      <x:c r="I9" s="84" t="n">
        <x:v>-0.083</x:v>
      </x:c>
      <x:c r="J9" s="86" t="n">
        <x:v>-25.1</x:v>
      </x:c>
      <x:c r="K9" s="86" t="n">
        <x:v>71.2</x:v>
      </x:c>
      <x:c r="L9" s="84" t="n">
        <x:v>0.536</x:v>
      </x:c>
      <x:c r="M9" s="84" t="n">
        <x:v>0.66</x:v>
      </x:c>
      <x:c r="N9" s="84" t="n">
        <x:v>0.11900000000000001</x:v>
      </x:c>
      <x:c r="O9" s="84" t="n">
        <x:v>0.353</x:v>
      </x:c>
      <x:c r="P9" s="84" t="n">
        <x:v>0.009000000000000001</x:v>
      </x:c>
      <x:c r="Q9" s="84" t="n">
        <x:v>0.254</x:v>
      </x:c>
      <x:c r="R9" s="84" t="n">
        <x:v>-0.013000000000000001</x:v>
      </x:c>
      <x:c r="S9"/>
      <x:c r="T9"/>
    </x:row>
    <x:row r="10">
      <x:c r="A10" s="70" t="str">
        <x:v>38862</x:v>
      </x:c>
      <x:c r="B10" s="83" t="n">
        <x:v>46142.75</x:v>
      </x:c>
      <x:c r="C10" s="84" t="n">
        <x:v>0.314</x:v>
      </x:c>
      <x:c r="D10" s="86" t="n">
        <x:v>7.3</x:v>
      </x:c>
      <x:c r="E10" s="86" t="n">
        <x:v>18.5</x:v>
      </x:c>
      <x:c r="F10" s="84" t="n">
        <x:v>0.13699999999999998</x:v>
      </x:c>
      <x:c r="G10" s="84" t="n">
        <x:v>0.006999999999999999</x:v>
      </x:c>
      <x:c r="H10" s="85" t="n">
        <x:v>8199999.999999999</x:v>
      </x:c>
      <x:c r="I10" s="84" t="n">
        <x:v>-0.076</x:v>
      </x:c>
      <x:c r="J10" s="86" t="n">
        <x:v>-28.9</x:v>
      </x:c>
      <x:c r="K10" s="86" t="n">
        <x:v>69.8</x:v>
      </x:c>
      <x:c r="L10" s="84" t="n">
        <x:v>0.474</x:v>
      </x:c>
      <x:c r="M10" s="84" t="n">
        <x:v>0.65</x:v>
      </x:c>
      <x:c r="N10" s="84" t="n">
        <x:v>0.127</x:v>
      </x:c>
      <x:c r="O10" s="84" t="n">
        <x:v>0.363</x:v>
      </x:c>
      <x:c r="P10" s="84" t="n">
        <x:v>0.004</x:v>
      </x:c>
      <x:c r="Q10" s="84" t="n">
        <x:v>0.243</x:v>
      </x:c>
      <x:c r="R10" s="84" t="n">
        <x:v>-0.027000000000000003</x:v>
      </x:c>
      <x:c r="S10"/>
      <x:c r="T10"/>
    </x:row>
    <x:row r="11">
      <x:c r="A11" s="70" t="str">
        <x:v>38186</x:v>
      </x:c>
      <x:c r="B11" s="83" t="n">
        <x:v>46142.75</x:v>
      </x:c>
      <x:c r="C11" s="84" t="n">
        <x:v>0.6629999999999999</x:v>
      </x:c>
      <x:c r="D11" s="86" t="n">
        <x:v>5.9</x:v>
      </x:c>
      <x:c r="E11" s="86" t="n">
        <x:v>14.2</x:v>
      </x:c>
      <x:c r="F11" s="84" t="n">
        <x:v>0.159</x:v>
      </x:c>
      <x:c r="G11" s="84" t="n">
        <x:v>-0.011000000000000001</x:v>
      </x:c>
      <x:c r="H11" s="85" t="n">
        <x:v>5300000</x:v>
      </x:c>
      <x:c r="I11" s="84" t="n">
        <x:v>-0.083</x:v>
      </x:c>
      <x:c r="J11" s="86" t="n">
        <x:v>-13.3</x:v>
      </x:c>
      <x:c r="K11" s="86" t="n">
        <x:v>82.8</x:v>
      </x:c>
      <x:c r="L11" s="84" t="n">
        <x:v>0.599</x:v>
      </x:c>
      <x:c r="M11" s="84" t="n">
        <x:v>0.72</x:v>
      </x:c>
      <x:c r="N11" s="84" t="n">
        <x:v>0.10800000000000001</x:v>
      </x:c>
      <x:c r="O11" s="84" t="n">
        <x:v>0.36200000000000004</x:v>
      </x:c>
      <x:c r="P11" s="84" t="n">
        <x:v>-0.002</x:v>
      </x:c>
      <x:c r="Q11" s="84" t="n">
        <x:v>0.16399999999999998</x:v>
      </x:c>
      <x:c r="R11" s="84" t="n">
        <x:v>0.02</x:v>
      </x:c>
      <x:c r="S11"/>
      <x:c r="T11"/>
    </x:row>
    <x:row r="12">
      <x:c r="A12" s="70" t="str">
        <x:v>38894</x:v>
      </x:c>
      <x:c r="B12" s="83" t="n">
        <x:v>46142.75</x:v>
      </x:c>
      <x:c r="C12" s="84" t="n">
        <x:v>0.191</x:v>
      </x:c>
      <x:c r="D12" s="86" t="n">
        <x:v>6.4</x:v>
      </x:c>
      <x:c r="E12" s="86" t="n">
        <x:v>16.5</x:v>
      </x:c>
      <x:c r="F12" s="84" t="n">
        <x:v>0.15</x:v>
      </x:c>
      <x:c r="G12" s="84" t="n">
        <x:v>0.012</x:v>
      </x:c>
      <x:c r="H12" s="85" t="n">
        <x:v>7100000</x:v>
      </x:c>
      <x:c r="I12" s="84" t="n">
        <x:v>-0.10400000000000001</x:v>
      </x:c>
      <x:c r="J12" s="86" t="n">
        <x:v>-11.4</x:v>
      </x:c>
      <x:c r="K12" s="86" t="n">
        <x:v>74.5</x:v>
      </x:c>
      <x:c r="L12" s="84" t="n">
        <x:v>0.467</x:v>
      </x:c>
      <x:c r="M12" s="84" t="n">
        <x:v>0.61</x:v>
      </x:c>
      <x:c r="N12" s="84" t="n">
        <x:v>0.073</x:v>
      </x:c>
      <x:c r="O12" s="84" t="n">
        <x:v>0.366</x:v>
      </x:c>
      <x:c r="P12" s="84" t="n">
        <x:v>0.004</x:v>
      </x:c>
      <x:c r="Q12" s="84" t="n">
        <x:v>0.213</x:v>
      </x:c>
      <x:c r="R12" s="84" t="n">
        <x:v>-0.018000000000000002</x:v>
      </x:c>
      <x:c r="S12"/>
      <x:c r="T12"/>
    </x:row>
    <x:row r="13">
      <x:c r="A13" s="70" t="str">
        <x:v>38230</x:v>
      </x:c>
      <x:c r="B13" s="83" t="n">
        <x:v>46142.75</x:v>
      </x:c>
      <x:c r="C13" s="84" t="n">
        <x:v>0.42700000000000005</x:v>
      </x:c>
      <x:c r="D13" s="86" t="n">
        <x:v>7.7</x:v>
      </x:c>
      <x:c r="E13" s="86" t="n">
        <x:v>14.1</x:v>
      </x:c>
      <x:c r="F13" s="84" t="n">
        <x:v>0.18600000000000003</x:v>
      </x:c>
      <x:c r="G13" s="84" t="n">
        <x:v>-0.023</x:v>
      </x:c>
      <x:c r="H13" s="85" t="n">
        <x:v>4600000</x:v>
      </x:c>
      <x:c r="I13" s="84" t="n">
        <x:v>0.115</x:v>
      </x:c>
      <x:c r="J13" s="86" t="n">
        <x:v>12.2</x:v>
      </x:c>
      <x:c r="K13" s="86" t="n">
        <x:v>66.7</x:v>
      </x:c>
      <x:c r="L13" s="84" t="n">
        <x:v>0.5529999999999999</x:v>
      </x:c>
      <x:c r="M13" s="84" t="n">
        <x:v>0.67</x:v>
      </x:c>
      <x:c r="N13" s="84" t="n">
        <x:v>0.09699999999999999</x:v>
      </x:c>
      <x:c r="O13" s="84" t="n">
        <x:v>0.34700000000000003</x:v>
      </x:c>
      <x:c r="P13" s="84" t="n">
        <x:v>-0.04</x:v>
      </x:c>
      <x:c r="Q13" s="84" t="n">
        <x:v>0.258</x:v>
      </x:c>
      <x:c r="R13" s="84" t="n">
        <x:v>0.11699999999999999</x:v>
      </x:c>
      <x:c r="S13"/>
      <x:c r="T13"/>
    </x:row>
    <x:row r="14">
      <x:c r="A14" s="70" t="str">
        <x:v>38661</x:v>
      </x:c>
      <x:c r="B14" s="83" t="n">
        <x:v>46142.75</x:v>
      </x:c>
      <x:c r="C14" s="84" t="n">
        <x:v>0.235</x:v>
      </x:c>
      <x:c r="D14" s="86" t="n">
        <x:v>6</x:v>
      </x:c>
      <x:c r="E14" s="86" t="n">
        <x:v>14.9</x:v>
      </x:c>
      <x:c r="F14" s="84" t="n">
        <x:v>0.156</x:v>
      </x:c>
      <x:c r="G14" s="84" t="n">
        <x:v>-0.006</x:v>
      </x:c>
      <x:c r="H14" s="85" t="n">
        <x:v>6000000</x:v>
      </x:c>
      <x:c r="I14" s="84" t="n">
        <x:v>-0.027000000000000003</x:v>
      </x:c>
      <x:c r="J14" s="86" t="n">
        <x:v>-24</x:v>
      </x:c>
      <x:c r="K14" s="86" t="n">
        <x:v>65.5</x:v>
      </x:c>
      <x:c r="L14" s="84" t="n">
        <x:v>0.552</x:v>
      </x:c>
      <x:c r="M14" s="84" t="n">
        <x:v>0.66</x:v>
      </x:c>
      <x:c r="N14" s="84" t="n">
        <x:v>0.155</x:v>
      </x:c>
      <x:c r="O14" s="84" t="n">
        <x:v>0.359</x:v>
      </x:c>
      <x:c r="P14" s="84" t="n">
        <x:v>0.003</x:v>
      </x:c>
      <x:c r="Q14" s="84" t="n">
        <x:v>0.177</x:v>
      </x:c>
      <x:c r="R14" s="84" t="n">
        <x:v>-0.003</x:v>
      </x:c>
      <x:c r="S14"/>
      <x:c r="T14"/>
    </x:row>
    <x:row r="15">
      <x:c r="A15" s="70" t="str">
        <x:v>38674</x:v>
      </x:c>
      <x:c r="B15" s="83" t="n">
        <x:v>46142.75</x:v>
      </x:c>
      <x:c r="C15" s="84" t="n">
        <x:v>0.5529999999999999</x:v>
      </x:c>
      <x:c r="D15" s="86" t="n">
        <x:v>5.8</x:v>
      </x:c>
      <x:c r="E15" s="86" t="n">
        <x:v>13.9</x:v>
      </x:c>
      <x:c r="F15" s="84" t="n">
        <x:v>0.184</x:v>
      </x:c>
      <x:c r="G15" s="84" t="n">
        <x:v>0.025</x:v>
      </x:c>
      <x:c r="H15" s="85" t="n">
        <x:v>4900000</x:v>
      </x:c>
      <x:c r="I15" s="84" t="n">
        <x:v>-0.17600000000000002</x:v>
      </x:c>
      <x:c r="J15" s="86" t="n">
        <x:v>-52.4</x:v>
      </x:c>
      <x:c r="K15" s="86" t="n">
        <x:v>70.8</x:v>
      </x:c>
      <x:c r="L15" s="84" t="n">
        <x:v>0.455</x:v>
      </x:c>
      <x:c r="M15" s="84" t="n">
        <x:v>0.61</x:v>
      </x:c>
      <x:c r="N15" s="84" t="n">
        <x:v>0.134</x:v>
      </x:c>
      <x:c r="O15" s="84" t="n">
        <x:v>0.37</x:v>
      </x:c>
      <x:c r="P15" s="84" t="n">
        <x:v>0.011000000000000001</x:v>
      </x:c>
      <x:c r="Q15" s="84" t="n">
        <x:v>0.18</x:v>
      </x:c>
      <x:c r="R15" s="84" t="n">
        <x:v>-0.038</x:v>
      </x:c>
      <x:c r="S15"/>
      <x:c r="T15"/>
    </x:row>
    <x:row r="16">
      <x:c r="A16" s="70" t="str">
        <x:v>38845</x:v>
      </x:c>
      <x:c r="B16" s="83" t="n">
        <x:v>46142.75</x:v>
      </x:c>
      <x:c r="C16" s="84" t="n">
        <x:v>0.644</x:v>
      </x:c>
      <x:c r="D16" s="86" t="n">
        <x:v>6.1</x:v>
      </x:c>
      <x:c r="E16" s="86" t="n">
        <x:v>13.4</x:v>
      </x:c>
      <x:c r="F16" s="84" t="n">
        <x:v>0.182</x:v>
      </x:c>
      <x:c r="G16" s="84" t="n">
        <x:v>0.011000000000000001</x:v>
      </x:c>
      <x:c r="H16" s="85" t="n">
        <x:v>4400000</x:v>
      </x:c>
      <x:c r="I16" s="84" t="n">
        <x:v>-0.153</x:v>
      </x:c>
      <x:c r="J16" s="86" t="n">
        <x:v>112.1</x:v>
      </x:c>
      <x:c r="K16" s="86" t="n">
        <x:v>73.4</x:v>
      </x:c>
      <x:c r="L16" s="84" t="n">
        <x:v>0.486</x:v>
      </x:c>
      <x:c r="M16" s="84" t="n">
        <x:v>0.56</x:v>
      </x:c>
      <x:c r="N16" s="84" t="n">
        <x:v>0.069</x:v>
      </x:c>
      <x:c r="O16" s="84" t="n">
        <x:v>0.373</x:v>
      </x:c>
      <x:c r="P16" s="84" t="n">
        <x:v>0.015</x:v>
      </x:c>
      <x:c r="Q16" s="84" t="n">
        <x:v>0.193</x:v>
      </x:c>
      <x:c r="R16" s="84" t="n">
        <x:v>-0.038</x:v>
      </x:c>
      <x:c r="S16"/>
      <x:c r="T16"/>
    </x:row>
    <x:row r="17">
      <x:c r="A17" s="70" t="str">
        <x:v>38792</x:v>
      </x:c>
      <x:c r="B17" s="83" t="n">
        <x:v>46142.75</x:v>
      </x:c>
      <x:c r="C17" s="84" t="n">
        <x:v>0.664</x:v>
      </x:c>
      <x:c r="D17" s="86" t="n">
        <x:v>5.8</x:v>
      </x:c>
      <x:c r="E17" s="86" t="n">
        <x:v>13.2</x:v>
      </x:c>
      <x:c r="F17" s="84" t="n">
        <x:v>0.179</x:v>
      </x:c>
      <x:c r="G17" s="84" t="n">
        <x:v>-0.005</x:v>
      </x:c>
      <x:c r="H17" s="85" t="n">
        <x:v>4800000</x:v>
      </x:c>
      <x:c r="I17" s="84" t="n">
        <x:v>-0.08800000000000001</x:v>
      </x:c>
      <x:c r="J17" s="86" t="n">
        <x:v>-27</x:v>
      </x:c>
      <x:c r="K17" s="86" t="n">
        <x:v>68.1</x:v>
      </x:c>
      <x:c r="L17" s="84" t="n">
        <x:v>0.54</x:v>
      </x:c>
      <x:c r="M17" s="84" t="n">
        <x:v>0.63</x:v>
      </x:c>
      <x:c r="N17" s="84" t="n">
        <x:v>0.079</x:v>
      </x:c>
      <x:c r="O17" s="84" t="n">
        <x:v>0.402</x:v>
      </x:c>
      <x:c r="P17" s="84" t="n">
        <x:v>0.009000000000000001</x:v>
      </x:c>
      <x:c r="Q17" s="84" t="n">
        <x:v>0.14400000000000002</x:v>
      </x:c>
      <x:c r="R17" s="84" t="n">
        <x:v>0.013000000000000001</x:v>
      </x:c>
      <x:c r="S17"/>
      <x:c r="T17"/>
    </x:row>
    <x:row r="18">
      <x:c r="A18" s="70" t="str">
        <x:v>38136</x:v>
      </x:c>
      <x:c r="B18" s="83" t="n">
        <x:v>46142.75</x:v>
      </x:c>
      <x:c r="C18" s="84" t="n">
        <x:v>0.428</x:v>
      </x:c>
      <x:c r="D18" s="86" t="n">
        <x:v>5.3</x:v>
      </x:c>
      <x:c r="E18" s="86" t="n">
        <x:v>14.9</x:v>
      </x:c>
      <x:c r="F18" s="84" t="n">
        <x:v>0.16</x:v>
      </x:c>
      <x:c r="G18" s="84" t="n">
        <x:v>-0.021</x:v>
      </x:c>
      <x:c r="H18" s="85" t="n">
        <x:v>5500000</x:v>
      </x:c>
      <x:c r="I18" s="84" t="n">
        <x:v>0.016</x:v>
      </x:c>
      <x:c r="J18" s="86" t="n">
        <x:v>-12.5</x:v>
      </x:c>
      <x:c r="K18" s="86" t="n">
        <x:v>74.5</x:v>
      </x:c>
      <x:c r="L18" s="84" t="n">
        <x:v>0.514</x:v>
      </x:c>
      <x:c r="M18" s="84" t="n">
        <x:v>0.63</x:v>
      </x:c>
      <x:c r="N18" s="84" t="n">
        <x:v>0.098</x:v>
      </x:c>
      <x:c r="O18" s="84" t="n">
        <x:v>0.355</x:v>
      </x:c>
      <x:c r="P18" s="84" t="n">
        <x:v>-0.013999999999999999</x:v>
      </x:c>
      <x:c r="Q18" s="84" t="n">
        <x:v>0.184</x:v>
      </x:c>
      <x:c r="R18" s="84" t="n">
        <x:v>0.168</x:v>
      </x:c>
      <x:c r="S18"/>
      <x:c r="T18"/>
    </x:row>
    <x:row r="19">
      <x:c r="A19" s="70" t="str">
        <x:v>38460</x:v>
      </x:c>
      <x:c r="B19" s="83" t="n">
        <x:v>46142.75</x:v>
      </x:c>
      <x:c r="C19" s="84" t="n">
        <x:v>0.142</x:v>
      </x:c>
      <x:c r="D19" s="86" t="n">
        <x:v>5.3</x:v>
      </x:c>
      <x:c r="E19" s="86" t="n">
        <x:v>13.4</x:v>
      </x:c>
      <x:c r="F19" s="84" t="n">
        <x:v>0.161</x:v>
      </x:c>
      <x:c r="G19" s="84" t="n">
        <x:v>-0.008</x:v>
      </x:c>
      <x:c r="H19" s="85" t="n">
        <x:v>5600000</x:v>
      </x:c>
      <x:c r="I19" s="84" t="n">
        <x:v>-0.002</x:v>
      </x:c>
      <x:c r="J19" s="86" t="n">
        <x:v>-7.7</x:v>
      </x:c>
      <x:c r="K19" s="86" t="n">
        <x:v>80.1</x:v>
      </x:c>
      <x:c r="L19" s="84" t="n">
        <x:v>0.611</x:v>
      </x:c>
      <x:c r="M19" s="84" t="n">
        <x:v>0.64</x:v>
      </x:c>
      <x:c r="N19" s="84" t="n">
        <x:v>0.073</x:v>
      </x:c>
      <x:c r="O19" s="84" t="n">
        <x:v>0.366</x:v>
      </x:c>
      <x:c r="P19" s="84" t="n">
        <x:v>0.002</x:v>
      </x:c>
      <x:c r="Q19" s="84" t="n">
        <x:v>0.158</x:v>
      </x:c>
      <x:c r="R19" s="84" t="n">
        <x:v>0.022000000000000002</x:v>
      </x:c>
      <x:c r="S19"/>
      <x:c r="T19"/>
    </x:row>
    <x:row r="20">
      <x:c r="A20" s="70" t="str">
        <x:v>38442</x:v>
      </x:c>
      <x:c r="B20" s="83" t="n">
        <x:v>46142.75</x:v>
      </x:c>
      <x:c r="C20" s="84" t="n">
        <x:v>0.5579999999999999</x:v>
      </x:c>
      <x:c r="D20" s="86" t="n">
        <x:v>5.9</x:v>
      </x:c>
      <x:c r="E20" s="86" t="n">
        <x:v>15.1</x:v>
      </x:c>
      <x:c r="F20" s="84" t="n">
        <x:v>0.14300000000000002</x:v>
      </x:c>
      <x:c r="G20" s="84" t="n">
        <x:v>0.006999999999999999</x:v>
      </x:c>
      <x:c r="H20" s="85" t="n">
        <x:v>8600000</x:v>
      </x:c>
      <x:c r="I20" s="84" t="n">
        <x:v>-0.002</x:v>
      </x:c>
      <x:c r="J20" s="86" t="n">
        <x:v>-28.2</x:v>
      </x:c>
      <x:c r="K20" s="86" t="n">
        <x:v>78.8</x:v>
      </x:c>
      <x:c r="L20" s="84" t="n">
        <x:v>0.594</x:v>
      </x:c>
      <x:c r="M20" s="84" t="n">
        <x:v>0.71</x:v>
      </x:c>
      <x:c r="N20" s="84" t="n">
        <x:v>0.1</x:v>
      </x:c>
      <x:c r="O20" s="84" t="n">
        <x:v>0.35</x:v>
      </x:c>
      <x:c r="P20" s="84" t="n">
        <x:v>-0.024</x:v>
      </x:c>
      <x:c r="Q20" s="84" t="n">
        <x:v>0.261</x:v>
      </x:c>
      <x:c r="R20" s="84" t="n">
        <x:v>0.03</x:v>
      </x:c>
      <x:c r="S20"/>
      <x:c r="T20"/>
    </x:row>
    <x:row r="21">
      <x:c r="A21" s="70" t="str">
        <x:v>38606</x:v>
      </x:c>
      <x:c r="B21" s="83" t="n">
        <x:v>46142.75</x:v>
      </x:c>
      <x:c r="C21" s="84" t="n">
        <x:v>0.276</x:v>
      </x:c>
      <x:c r="D21" s="86" t="n">
        <x:v>6.8</x:v>
      </x:c>
      <x:c r="E21" s="86" t="n">
        <x:v>16.4</x:v>
      </x:c>
      <x:c r="F21" s="84" t="n">
        <x:v>0.14400000000000002</x:v>
      </x:c>
      <x:c r="G21" s="84" t="n">
        <x:v>-0.002</x:v>
      </x:c>
      <x:c r="H21" s="85" t="n">
        <x:v>9300000</x:v>
      </x:c>
      <x:c r="I21" s="84" t="n">
        <x:v>0.001</x:v>
      </x:c>
      <x:c r="J21" s="86" t="n">
        <x:v>36.6</x:v>
      </x:c>
      <x:c r="K21" s="86" t="n">
        <x:v>72.1</x:v>
      </x:c>
      <x:c r="L21" s="84" t="n">
        <x:v>0.469</x:v>
      </x:c>
      <x:c r="M21" s="84" t="n">
        <x:v>0.65</x:v>
      </x:c>
      <x:c r="N21" s="84" t="n">
        <x:v>0.073</x:v>
      </x:c>
      <x:c r="O21" s="84" t="n">
        <x:v>0.371</x:v>
      </x:c>
      <x:c r="P21" s="84" t="n">
        <x:v>-0.003</x:v>
      </x:c>
      <x:c r="Q21" s="84" t="n">
        <x:v>0.242</x:v>
      </x:c>
      <x:c r="R21" s="84" t="n">
        <x:v>0.002</x:v>
      </x:c>
      <x:c r="S21"/>
      <x:c r="T21"/>
    </x:row>
    <x:row r="22">
      <x:c r="A22" s="70" t="str">
        <x:v>38374</x:v>
      </x:c>
      <x:c r="B22" s="83" t="n">
        <x:v>46142.75</x:v>
      </x:c>
      <x:c r="C22" s="84" t="n">
        <x:v>0.17800000000000002</x:v>
      </x:c>
      <x:c r="D22" s="86" t="n">
        <x:v>5.2</x:v>
      </x:c>
      <x:c r="E22" s="86" t="n">
        <x:v>12.5</x:v>
      </x:c>
      <x:c r="F22" s="84" t="n">
        <x:v>0.188</x:v>
      </x:c>
      <x:c r="G22" s="84" t="n">
        <x:v>0.024</x:v>
      </x:c>
      <x:c r="H22" s="85" t="n">
        <x:v>4099999.9999999995</x:v>
      </x:c>
      <x:c r="I22" s="84" t="n">
        <x:v>-0.109</x:v>
      </x:c>
      <x:c r="J22" s="86" t="n">
        <x:v>-10.2</x:v>
      </x:c>
      <x:c r="K22" s="86" t="n">
        <x:v>68.1</x:v>
      </x:c>
      <x:c r="L22" s="84" t="n">
        <x:v>0.5660000000000001</x:v>
      </x:c>
      <x:c r="M22" s="84" t="n">
        <x:v>0.65</x:v>
      </x:c>
      <x:c r="N22" s="84" t="n">
        <x:v>0.121</x:v>
      </x:c>
      <x:c r="O22" s="84" t="n">
        <x:v>0.37</x:v>
      </x:c>
      <x:c r="P22" s="84" t="n">
        <x:v>-0.013000000000000001</x:v>
      </x:c>
      <x:c r="Q22" s="84" t="n">
        <x:v>0.168</x:v>
      </x:c>
      <x:c r="R22" s="84" t="n">
        <x:v>-0.005</x:v>
      </x:c>
      <x:c r="S22"/>
      <x:c r="T22"/>
    </x:row>
    <x:row r="23">
      <x:c r="A23" s="70" t="str">
        <x:v>38694</x:v>
      </x:c>
      <x:c r="B23" s="83" t="n">
        <x:v>46142.75</x:v>
      </x:c>
      <x:c r="C23" s="84" t="n">
        <x:v>0.162</x:v>
      </x:c>
      <x:c r="D23" s="86" t="n">
        <x:v>5.9</x:v>
      </x:c>
      <x:c r="E23" s="86" t="n">
        <x:v>14.7</x:v>
      </x:c>
      <x:c r="F23" s="84" t="n">
        <x:v>0.141</x:v>
      </x:c>
      <x:c r="G23" s="84" t="n">
        <x:v>0.001</x:v>
      </x:c>
      <x:c r="H23" s="85" t="n">
        <x:v>7900000</x:v>
      </x:c>
      <x:c r="I23" s="84" t="n">
        <x:v>0.03</x:v>
      </x:c>
      <x:c r="J23" s="86" t="n">
        <x:v>-7.8</x:v>
      </x:c>
      <x:c r="K23" s="86" t="n">
        <x:v>70.3</x:v>
      </x:c>
      <x:c r="L23" s="84" t="n">
        <x:v>0.514</x:v>
      </x:c>
      <x:c r="M23" s="84" t="n">
        <x:v>0.66</x:v>
      </x:c>
      <x:c r="N23" s="84" t="n">
        <x:v>0.033</x:v>
      </x:c>
      <x:c r="O23" s="84" t="n">
        <x:v>0.35</x:v>
      </x:c>
      <x:c r="P23" s="84" t="n">
        <x:v>-0.011000000000000001</x:v>
      </x:c>
      <x:c r="Q23" s="84" t="n">
        <x:v>0.212</x:v>
      </x:c>
      <x:c r="R23" s="84" t="n">
        <x:v>0.027000000000000003</x:v>
      </x:c>
      <x:c r="S23"/>
      <x:c r="T23"/>
    </x:row>
    <x:row r="24">
      <x:c r="A24" s="70" t="str">
        <x:v>43194</x:v>
      </x:c>
      <x:c r="B24" s="83" t="n">
        <x:v>46142.75</x:v>
      </x:c>
      <x:c r="C24" s="84" t="n">
        <x:v>0.086</x:v>
      </x:c>
      <x:c r="D24" s="86" t="n">
        <x:v>5.9</x:v>
      </x:c>
      <x:c r="E24" s="86" t="n">
        <x:v>12.7</x:v>
      </x:c>
      <x:c r="F24" s="84" t="n">
        <x:v>0.161</x:v>
      </x:c>
      <x:c r="G24" s="84" t="n">
        <x:v>-0.073</x:v>
      </x:c>
      <x:c r="H24" s="85" t="n">
        <x:v>3200000</x:v>
      </x:c>
      <x:c r="I24" s="84" t="n">
        <x:v>0.059000000000000004</x:v>
      </x:c>
      <x:c r="J24" s="86" t="n">
        <x:v>176.9</x:v>
      </x:c>
      <x:c r="K24" s="86" t="n">
        <x:v>79.8</x:v>
      </x:c>
      <x:c r="L24" s="84" t="n">
        <x:v>0.5329999999999999</x:v>
      </x:c>
      <x:c r="M24" s="84" t="n">
        <x:v>0.72</x:v>
      </x:c>
      <x:c r="N24" s="84" t="n">
        <x:v>0.075</x:v>
      </x:c>
      <x:c r="O24" s="84" t="n">
        <x:v>0.35700000000000004</x:v>
      </x:c>
      <x:c r="P24" s="84" t="n">
        <x:v>0.027999999999999997</x:v>
      </x:c>
      <x:c r="Q24" s="84" t="n">
        <x:v>0.32299999999999995</x:v>
      </x:c>
      <x:c r="R24" s="84" t="n">
        <x:v>0.08800000000000001</x:v>
      </x:c>
      <x:c r="S24"/>
      <x:c r="T24"/>
    </x:row>
    <x:row r="25">
      <x:c r="A25" s="70" t="str">
        <x:v>38527</x:v>
      </x:c>
      <x:c r="B25" s="83" t="n">
        <x:v>46142.75</x:v>
      </x:c>
      <x:c r="C25" s="84" t="n">
        <x:v>0.3</x:v>
      </x:c>
      <x:c r="D25" s="86" t="n">
        <x:v>6.8</x:v>
      </x:c>
      <x:c r="E25" s="86" t="n">
        <x:v>16.7</x:v>
      </x:c>
      <x:c r="F25" s="84" t="n">
        <x:v>0.129</x:v>
      </x:c>
      <x:c r="G25" s="84" t="n">
        <x:v>-0.065</x:v>
      </x:c>
      <x:c r="H25" s="85" t="n">
        <x:v>12700000</x:v>
      </x:c>
      <x:c r="I25" s="84" t="n">
        <x:v>0.419</x:v>
      </x:c>
      <x:c r="J25" s="86" t="n">
        <x:v>-4.5</x:v>
      </x:c>
      <x:c r="K25" s="86" t="n">
        <x:v>52.5</x:v>
      </x:c>
      <x:c r="L25" s="84" t="n">
        <x:v>0.392</x:v>
      </x:c>
      <x:c r="M25" s="84" t="n">
        <x:v>0.47</x:v>
      </x:c>
      <x:c r="N25" s="84" t="n">
        <x:v>0.079</x:v>
      </x:c>
      <x:c r="O25" s="84" t="n">
        <x:v>0.355</x:v>
      </x:c>
      <x:c r="P25" s="84" t="n">
        <x:v>0.02</x:v>
      </x:c>
      <x:c r="Q25" s="84" t="n">
        <x:v>0.298</x:v>
      </x:c>
      <x:c r="R25" s="84" t="n">
        <x:v>0.046</x:v>
      </x:c>
      <x:c r="S25" t="str">
        <x:v>01:25</x:v>
      </x:c>
      <x:c r="T25" t="str">
        <x:v>01:21</x:v>
      </x:c>
    </x:row>
    <x:row r="26">
      <x:c r="A26" s="70" t="str">
        <x:v>38837</x:v>
      </x:c>
      <x:c r="B26" s="83" t="n">
        <x:v>46142.75</x:v>
      </x:c>
      <x:c r="C26" s="84" t="n">
        <x:v>0.14400000000000002</x:v>
      </x:c>
      <x:c r="D26" s="86" t="n">
        <x:v>7.5</x:v>
      </x:c>
      <x:c r="E26" s="86" t="n">
        <x:v>17.6</x:v>
      </x:c>
      <x:c r="F26" s="84" t="n">
        <x:v>0.147</x:v>
      </x:c>
      <x:c r="G26" s="84" t="n">
        <x:v>0.012</x:v>
      </x:c>
      <x:c r="H26" s="85" t="n">
        <x:v>6200000</x:v>
      </x:c>
      <x:c r="I26" s="84" t="n">
        <x:v>-0.083</x:v>
      </x:c>
      <x:c r="J26" s="86" t="n">
        <x:v>-23.5</x:v>
      </x:c>
      <x:c r="K26" s="86" t="n">
        <x:v>68.8</x:v>
      </x:c>
      <x:c r="L26" s="84" t="n">
        <x:v>0.511</x:v>
      </x:c>
      <x:c r="M26" s="84" t="n">
        <x:v>0.61</x:v>
      </x:c>
      <x:c r="N26" s="84" t="n">
        <x:v>0.179</x:v>
      </x:c>
      <x:c r="O26" s="84" t="n">
        <x:v>0.359</x:v>
      </x:c>
      <x:c r="P26" s="84" t="n">
        <x:v>0.019</x:v>
      </x:c>
      <x:c r="Q26" s="84" t="n">
        <x:v>0.201</x:v>
      </x:c>
      <x:c r="R26" s="84" t="n">
        <x:v>-0.024</x:v>
      </x:c>
      <x:c r="S26"/>
      <x:c r="T26"/>
    </x:row>
    <x:row r="27">
      <x:c r="A27" s="70" t="str">
        <x:v>38205</x:v>
      </x:c>
      <x:c r="B27" s="83" t="n">
        <x:v>46142.75</x:v>
      </x:c>
      <x:c r="C27" s="84" t="n">
        <x:v>0.415</x:v>
      </x:c>
      <x:c r="D27" s="86" t="n">
        <x:v>7.2</x:v>
      </x:c>
      <x:c r="E27" s="86" t="n">
        <x:v>17.1</x:v>
      </x:c>
      <x:c r="F27" s="84" t="n">
        <x:v>0.132</x:v>
      </x:c>
      <x:c r="G27" s="84" t="n">
        <x:v>0.003</x:v>
      </x:c>
      <x:c r="H27" s="85" t="n">
        <x:v>9200000</x:v>
      </x:c>
      <x:c r="I27" s="84" t="n">
        <x:v>-0.081</x:v>
      </x:c>
      <x:c r="J27" s="86" t="n">
        <x:v>-37.7</x:v>
      </x:c>
      <x:c r="K27" s="86" t="n">
        <x:v>62.1</x:v>
      </x:c>
      <x:c r="L27" s="84" t="n">
        <x:v>0.445</x:v>
      </x:c>
      <x:c r="M27" s="84" t="n">
        <x:v>0.53</x:v>
      </x:c>
      <x:c r="N27" s="84" t="n">
        <x:v>0.11199999999999999</x:v>
      </x:c>
      <x:c r="O27" s="84" t="n">
        <x:v>0.358</x:v>
      </x:c>
      <x:c r="P27" s="84" t="n">
        <x:v>0.018000000000000002</x:v>
      </x:c>
      <x:c r="Q27" s="84" t="n">
        <x:v>0.257</x:v>
      </x:c>
      <x:c r="R27" s="84" t="n">
        <x:v>-0.028999999999999998</x:v>
      </x:c>
      <x:c r="S27"/>
      <x:c r="T27"/>
    </x:row>
    <x:row r="28">
      <x:c r="A28" s="70" t="str">
        <x:v>38207</x:v>
      </x:c>
      <x:c r="B28" s="83" t="n">
        <x:v>46142.75</x:v>
      </x:c>
      <x:c r="C28" s="84" t="n">
        <x:v>0.33899999999999997</x:v>
      </x:c>
      <x:c r="D28" s="86" t="n">
        <x:v>8.6</x:v>
      </x:c>
      <x:c r="E28" s="86" t="n">
        <x:v>18.2</x:v>
      </x:c>
      <x:c r="F28" s="84" t="n">
        <x:v>0.19</x:v>
      </x:c>
      <x:c r="G28" s="84" t="n">
        <x:v>-0.003</x:v>
      </x:c>
      <x:c r="H28" s="85" t="n">
        <x:v>3900000</x:v>
      </x:c>
      <x:c r="I28" s="84" t="n">
        <x:v>0.057</x:v>
      </x:c>
      <x:c r="J28" s="86" t="n">
        <x:v>-3.4</x:v>
      </x:c>
      <x:c r="K28" s="86" t="n">
        <x:v>79.7</x:v>
      </x:c>
      <x:c r="L28" s="84" t="n">
        <x:v>0.552</x:v>
      </x:c>
      <x:c r="M28" s="84" t="n">
        <x:v>0.65</x:v>
      </x:c>
      <x:c r="N28" s="84" t="n">
        <x:v>0.022000000000000002</x:v>
      </x:c>
      <x:c r="O28" s="84" t="n">
        <x:v>0.355</x:v>
      </x:c>
      <x:c r="P28" s="84" t="n">
        <x:v>0.003</x:v>
      </x:c>
      <x:c r="Q28" s="84" t="n">
        <x:v>0.193</x:v>
      </x:c>
      <x:c r="R28" s="84" t="n">
        <x:v>0.04</x:v>
      </x:c>
      <x:c r="S28"/>
      <x:c r="T28"/>
    </x:row>
    <x:row r="29">
      <x:c r="A29" s="70" t="str">
        <x:v>38371</x:v>
      </x:c>
      <x:c r="B29" s="83" t="n">
        <x:v>46142.75</x:v>
      </x:c>
      <x:c r="C29" s="84" t="n">
        <x:v>0.282</x:v>
      </x:c>
      <x:c r="D29" s="86" t="n">
        <x:v>7.1</x:v>
      </x:c>
      <x:c r="E29" s="86" t="n">
        <x:v>18</x:v>
      </x:c>
      <x:c r="F29" s="84" t="n">
        <x:v>0.121</x:v>
      </x:c>
      <x:c r="G29" s="84" t="n">
        <x:v>-0.033</x:v>
      </x:c>
      <x:c r="H29" s="85" t="n">
        <x:v>16600000.000000002</x:v>
      </x:c>
      <x:c r="I29" s="84" t="n">
        <x:v>0.182</x:v>
      </x:c>
      <x:c r="J29" s="86" t="n">
        <x:v>-51.4</x:v>
      </x:c>
      <x:c r="K29" s="86" t="n">
        <x:v>64.3</x:v>
      </x:c>
      <x:c r="L29" s="84" t="n">
        <x:v>0.445</x:v>
      </x:c>
      <x:c r="M29" s="84" t="n">
        <x:v>0.58</x:v>
      </x:c>
      <x:c r="N29" s="84" t="n">
        <x:v>0.14300000000000002</x:v>
      </x:c>
      <x:c r="O29" s="84" t="n">
        <x:v>0.376</x:v>
      </x:c>
      <x:c r="P29" s="84" t="n">
        <x:v>0.031</x:v>
      </x:c>
      <x:c r="Q29" s="84" t="n">
        <x:v>0.254</x:v>
      </x:c>
      <x:c r="R29" s="84" t="n">
        <x:v>0.038</x:v>
      </x:c>
      <x:c r="S29" t="str">
        <x:v>01:37</x:v>
      </x:c>
      <x:c r="T29" t="str">
        <x:v>01:42</x:v>
      </x:c>
    </x:row>
    <x:row r="30">
      <x:c r="A30" s="70" t="str">
        <x:v>43111</x:v>
      </x:c>
      <x:c r="B30" s="83" t="n">
        <x:v>46142.75</x:v>
      </x:c>
      <x:c r="C30" s="84" t="n">
        <x:v>0.021</x:v>
      </x:c>
      <x:c r="D30" s="86" t="n">
        <x:v>5.3</x:v>
      </x:c>
      <x:c r="E30" s="86" t="n">
        <x:v>13.3</x:v>
      </x:c>
      <x:c r="F30" s="84" t="n">
        <x:v>0.193</x:v>
      </x:c>
      <x:c r="G30" s="84" t="n">
        <x:v>0.006999999999999999</x:v>
      </x:c>
      <x:c r="H30" s="85" t="n">
        <x:v>4200000</x:v>
      </x:c>
      <x:c r="I30" s="84" t="n">
        <x:v>-0.129</x:v>
      </x:c>
      <x:c r="J30" s="86" t="n">
        <x:v>201.4</x:v>
      </x:c>
      <x:c r="K30" s="86" t="n">
        <x:v>79.5</x:v>
      </x:c>
      <x:c r="L30" s="84" t="n">
        <x:v>0.5720000000000001</x:v>
      </x:c>
      <x:c r="M30" s="84" t="n">
        <x:v>0.67</x:v>
      </x:c>
      <x:c r="N30" s="84" t="n">
        <x:v>0.245</x:v>
      </x:c>
      <x:c r="O30" s="84" t="n">
        <x:v>0.40299999999999997</x:v>
      </x:c>
      <x:c r="P30" s="84" t="n">
        <x:v>0.062</x:v>
      </x:c>
      <x:c r="Q30" s="84" t="n">
        <x:v>0.13699999999999998</x:v>
      </x:c>
      <x:c r="R30" s="84" t="n">
        <x:v>-0.105</x:v>
      </x:c>
      <x:c r="S30"/>
      <x:c r="T30"/>
    </x:row>
    <x:row r="31">
      <x:c r="A31" s="70" t="str">
        <x:v>43195</x:v>
      </x:c>
      <x:c r="B31" s="83" t="n">
        <x:v>46142.75</x:v>
      </x:c>
      <x:c r="C31" s="84" t="n">
        <x:v>0.258</x:v>
      </x:c>
      <x:c r="D31" s="86" t="n">
        <x:v>6.7</x:v>
      </x:c>
      <x:c r="E31" s="86" t="n">
        <x:v>13.9</x:v>
      </x:c>
      <x:c r="F31" s="84" t="n">
        <x:v>0.174</x:v>
      </x:c>
      <x:c r="G31" s="84" t="n">
        <x:v>-0.032</x:v>
      </x:c>
      <x:c r="H31" s="85" t="n">
        <x:v>4400000</x:v>
      </x:c>
      <x:c r="I31" s="84" t="n">
        <x:v>0.054000000000000006</x:v>
      </x:c>
      <x:c r="J31" s="86" t="n">
        <x:v>250.3</x:v>
      </x:c>
      <x:c r="K31" s="86" t="n">
        <x:v>73.3</x:v>
      </x:c>
      <x:c r="L31" s="84" t="n">
        <x:v>0.489</x:v>
      </x:c>
      <x:c r="M31" s="84" t="n">
        <x:v>0.67</x:v>
      </x:c>
      <x:c r="N31" s="84" t="n">
        <x:v>0.028999999999999998</x:v>
      </x:c>
      <x:c r="O31" s="84" t="n">
        <x:v>0.326</x:v>
      </x:c>
      <x:c r="P31" s="84" t="n">
        <x:v>-0.002</x:v>
      </x:c>
      <x:c r="Q31" s="84" t="n">
        <x:v>0.259</x:v>
      </x:c>
      <x:c r="R31" s="84" t="n">
        <x:v>-0.04</x:v>
      </x:c>
      <x:c r="S31"/>
      <x:c r="T31"/>
    </x:row>
    <x:row r="32">
      <x:c r="A32" s="70" t="str">
        <x:v>38546</x:v>
      </x:c>
      <x:c r="B32" s="83" t="n">
        <x:v>46142.75</x:v>
      </x:c>
      <x:c r="C32" s="84" t="n">
        <x:v>0.23</x:v>
      </x:c>
      <x:c r="D32" s="86" t="n">
        <x:v>6.8</x:v>
      </x:c>
      <x:c r="E32" s="86" t="n">
        <x:v>16.3</x:v>
      </x:c>
      <x:c r="F32" s="84" t="n">
        <x:v>0.14400000000000002</x:v>
      </x:c>
      <x:c r="G32" s="84" t="n">
        <x:v>0</x:v>
      </x:c>
      <x:c r="H32" s="85" t="n">
        <x:v>8500000</x:v>
      </x:c>
      <x:c r="I32" s="84" t="n">
        <x:v>-0.037000000000000005</x:v>
      </x:c>
      <x:c r="J32" s="86" t="n">
        <x:v>-42</x:v>
      </x:c>
      <x:c r="K32" s="86" t="n">
        <x:v>67.2</x:v>
      </x:c>
      <x:c r="L32" s="84" t="n">
        <x:v>0.526</x:v>
      </x:c>
      <x:c r="M32" s="84" t="n">
        <x:v>0.57</x:v>
      </x:c>
      <x:c r="N32" s="84" t="n">
        <x:v>0.13</x:v>
      </x:c>
      <x:c r="O32" s="84" t="n">
        <x:v>0.35600000000000004</x:v>
      </x:c>
      <x:c r="P32" s="84" t="n">
        <x:v>-0.022000000000000002</x:v>
      </x:c>
      <x:c r="Q32" s="84" t="n">
        <x:v>0.242</x:v>
      </x:c>
      <x:c r="R32" s="84" t="n">
        <x:v>0.10099999999999999</x:v>
      </x:c>
      <x:c r="S32"/>
      <x:c r="T32"/>
    </x:row>
    <x:row r="33">
      <x:c r="A33" s="70" t="str">
        <x:v>38677</x:v>
      </x:c>
      <x:c r="B33" s="83" t="n">
        <x:v>46142.75</x:v>
      </x:c>
      <x:c r="C33" s="84" t="n">
        <x:v>0.23399999999999999</x:v>
      </x:c>
      <x:c r="D33" s="86" t="n">
        <x:v>7.5</x:v>
      </x:c>
      <x:c r="E33" s="86" t="n">
        <x:v>17.6</x:v>
      </x:c>
      <x:c r="F33" s="84" t="n">
        <x:v>0.152</x:v>
      </x:c>
      <x:c r="G33" s="84" t="n">
        <x:v>0.018000000000000002</x:v>
      </x:c>
      <x:c r="H33" s="85" t="n">
        <x:v>7000000</x:v>
      </x:c>
      <x:c r="I33" s="84" t="n">
        <x:v>-0.138</x:v>
      </x:c>
      <x:c r="J33" s="86" t="n">
        <x:v>-29.4</x:v>
      </x:c>
      <x:c r="K33" s="86" t="n">
        <x:v>74.6</x:v>
      </x:c>
      <x:c r="L33" s="84" t="n">
        <x:v>0.6609999999999999</x:v>
      </x:c>
      <x:c r="M33" s="84" t="n">
        <x:v>0.64</x:v>
      </x:c>
      <x:c r="N33" s="84" t="n">
        <x:v>0.174</x:v>
      </x:c>
      <x:c r="O33" s="84" t="n">
        <x:v>0.401</x:v>
      </x:c>
      <x:c r="P33" s="84" t="n">
        <x:v>0.021</x:v>
      </x:c>
      <x:c r="Q33" s="84" t="n">
        <x:v>0.175</x:v>
      </x:c>
      <x:c r="R33" s="84" t="n">
        <x:v>-0.048</x:v>
      </x:c>
      <x:c r="S33"/>
      <x:c r="T33"/>
    </x:row>
    <x:row r="34">
      <x:c r="A34" s="70" t="str">
        <x:v>38719</x:v>
      </x:c>
      <x:c r="B34" s="83" t="n">
        <x:v>46142.75</x:v>
      </x:c>
      <x:c r="C34" s="84" t="n">
        <x:v>0.185</x:v>
      </x:c>
      <x:c r="D34" s="86" t="n">
        <x:v>6.6</x:v>
      </x:c>
      <x:c r="E34" s="86" t="n">
        <x:v>15.9</x:v>
      </x:c>
      <x:c r="F34" s="84" t="n">
        <x:v>0.156</x:v>
      </x:c>
      <x:c r="G34" s="84" t="n">
        <x:v>-0.003</x:v>
      </x:c>
      <x:c r="H34" s="85" t="n">
        <x:v>6200000</x:v>
      </x:c>
      <x:c r="I34" s="84" t="n">
        <x:v>-0.061</x:v>
      </x:c>
      <x:c r="J34" s="86" t="n">
        <x:v>-22.9</x:v>
      </x:c>
      <x:c r="K34" s="86" t="n">
        <x:v>79</x:v>
      </x:c>
      <x:c r="L34" s="84" t="n">
        <x:v>0.6</x:v>
      </x:c>
      <x:c r="M34" s="84" t="n">
        <x:v>0.72</x:v>
      </x:c>
      <x:c r="N34" s="84" t="n">
        <x:v>0.162</x:v>
      </x:c>
      <x:c r="O34" s="84" t="n">
        <x:v>0.396</x:v>
      </x:c>
      <x:c r="P34" s="84" t="n">
        <x:v>0.021</x:v>
      </x:c>
      <x:c r="Q34" s="84" t="n">
        <x:v>0.19399999999999998</x:v>
      </x:c>
      <x:c r="R34" s="84" t="n">
        <x:v>-0.023</x:v>
      </x:c>
      <x:c r="S34"/>
      <x:c r="T34"/>
    </x:row>
    <x:row r="35">
      <x:c r="A35" s="70" t="str">
        <x:v>43132</x:v>
      </x:c>
      <x:c r="B35" s="83" t="n">
        <x:v>46142.75</x:v>
      </x:c>
      <x:c r="C35" s="84" t="n">
        <x:v>0.364</x:v>
      </x:c>
      <x:c r="D35" s="86" t="n">
        <x:v>5.4</x:v>
      </x:c>
      <x:c r="E35" s="86" t="n">
        <x:v>13.6</x:v>
      </x:c>
      <x:c r="F35" s="84" t="n">
        <x:v>0.162</x:v>
      </x:c>
      <x:c r="G35" s="84" t="n">
        <x:v>-0.023</x:v>
      </x:c>
      <x:c r="H35" s="85" t="n">
        <x:v>5100000</x:v>
      </x:c>
      <x:c r="I35" s="84" t="n">
        <x:v>-0.024</x:v>
      </x:c>
      <x:c r="J35" s="86" t="n">
        <x:v>-19</x:v>
      </x:c>
      <x:c r="K35" s="86" t="n">
        <x:v>79.7</x:v>
      </x:c>
      <x:c r="L35" s="84" t="n">
        <x:v>0.583</x:v>
      </x:c>
      <x:c r="M35" s="84" t="n">
        <x:v>0.67</x:v>
      </x:c>
      <x:c r="N35" s="84" t="n">
        <x:v>0.155</x:v>
      </x:c>
      <x:c r="O35" s="84" t="n">
        <x:v>0.36</x:v>
      </x:c>
      <x:c r="P35" s="84" t="n">
        <x:v>0.024</x:v>
      </x:c>
      <x:c r="Q35" s="84" t="n">
        <x:v>0.198</x:v>
      </x:c>
      <x:c r="R35" s="84" t="n">
        <x:v>0.002</x:v>
      </x:c>
      <x:c r="S35"/>
      <x:c r="T35"/>
    </x:row>
    <x:row r="36">
      <x:c r="A36" s="70" t="str">
        <x:v>38411</x:v>
      </x:c>
      <x:c r="B36" s="83" t="n">
        <x:v>46142.75</x:v>
      </x:c>
      <x:c r="C36" s="84" t="n">
        <x:v>0.171</x:v>
      </x:c>
      <x:c r="D36" s="86" t="n">
        <x:v>6.3</x:v>
      </x:c>
      <x:c r="E36" s="86" t="n">
        <x:v>16.3</x:v>
      </x:c>
      <x:c r="F36" s="84" t="n">
        <x:v>0.141</x:v>
      </x:c>
      <x:c r="G36" s="84" t="n">
        <x:v>0.013999999999999999</x:v>
      </x:c>
      <x:c r="H36" s="85" t="n">
        <x:v>8500000</x:v>
      </x:c>
      <x:c r="I36" s="84" t="n">
        <x:v>-0.141</x:v>
      </x:c>
      <x:c r="J36" s="86" t="n">
        <x:v>-55.2</x:v>
      </x:c>
      <x:c r="K36" s="86" t="n">
        <x:v>69.7</x:v>
      </x:c>
      <x:c r="L36" s="84" t="n">
        <x:v>0.5529999999999999</x:v>
      </x:c>
      <x:c r="M36" s="84" t="n">
        <x:v>0.64</x:v>
      </x:c>
      <x:c r="N36" s="84" t="n">
        <x:v>0.212</x:v>
      </x:c>
      <x:c r="O36" s="84" t="n">
        <x:v>0.368</x:v>
      </x:c>
      <x:c r="P36" s="84" t="n">
        <x:v>0.024</x:v>
      </x:c>
      <x:c r="Q36" s="84" t="n">
        <x:v>0.226</x:v>
      </x:c>
      <x:c r="R36" s="84" t="n">
        <x:v>-0.055</x:v>
      </x:c>
      <x:c r="S36"/>
      <x:c r="T36"/>
    </x:row>
    <x:row r="37">
      <x:c r="A37" s="70" t="str">
        <x:v>38651</x:v>
      </x:c>
      <x:c r="B37" s="83" t="n">
        <x:v>46142.75</x:v>
      </x:c>
      <x:c r="C37" s="84" t="n">
        <x:v>0.276</x:v>
      </x:c>
      <x:c r="D37" s="86" t="n">
        <x:v>6.6</x:v>
      </x:c>
      <x:c r="E37" s="86" t="n">
        <x:v>15.9</x:v>
      </x:c>
      <x:c r="F37" s="84" t="n">
        <x:v>0.139</x:v>
      </x:c>
      <x:c r="G37" s="84" t="n">
        <x:v>-0.006</x:v>
      </x:c>
      <x:c r="H37" s="85" t="n">
        <x:v>9200000</x:v>
      </x:c>
      <x:c r="I37" s="84" t="n">
        <x:v>-0.06</x:v>
      </x:c>
      <x:c r="J37" s="86" t="n">
        <x:v>-19.6</x:v>
      </x:c>
      <x:c r="K37" s="86" t="n">
        <x:v>70</x:v>
      </x:c>
      <x:c r="L37" s="84" t="n">
        <x:v>0.48200000000000004</x:v>
      </x:c>
      <x:c r="M37" s="84" t="n">
        <x:v>0.55</x:v>
      </x:c>
      <x:c r="N37" s="84" t="n">
        <x:v>0.085</x:v>
      </x:c>
      <x:c r="O37" s="84" t="n">
        <x:v>0.375</x:v>
      </x:c>
      <x:c r="P37" s="84" t="n">
        <x:v>0.038</x:v>
      </x:c>
      <x:c r="Q37" s="84" t="n">
        <x:v>0.23399999999999999</x:v>
      </x:c>
      <x:c r="R37" s="84" t="n">
        <x:v>-0.042</x:v>
      </x:c>
      <x:c r="S37"/>
      <x:c r="T37"/>
    </x:row>
    <x:row r="38">
      <x:c r="A38" s="70" t="str">
        <x:v>38930</x:v>
      </x:c>
      <x:c r="B38" s="83" t="n">
        <x:v>46142.75</x:v>
      </x:c>
      <x:c r="C38" s="84" t="n">
        <x:v>0.547</x:v>
      </x:c>
      <x:c r="D38" s="86" t="n">
        <x:v>6.8</x:v>
      </x:c>
      <x:c r="E38" s="86" t="n">
        <x:v>17</x:v>
      </x:c>
      <x:c r="F38" s="84" t="n">
        <x:v>0.122</x:v>
      </x:c>
      <x:c r="G38" s="84" t="n">
        <x:v>-0.063</x:v>
      </x:c>
      <x:c r="H38" s="85" t="n">
        <x:v>13300000</x:v>
      </x:c>
      <x:c r="I38" s="84" t="n">
        <x:v>0.35</x:v>
      </x:c>
      <x:c r="J38" s="86" t="n">
        <x:v>-3.8</x:v>
      </x:c>
      <x:c r="K38" s="86" t="n">
        <x:v>63.1</x:v>
      </x:c>
      <x:c r="L38" s="84" t="n">
        <x:v>0.307</x:v>
      </x:c>
      <x:c r="M38" s="84" t="n">
        <x:v>0.48</x:v>
      </x:c>
      <x:c r="N38" s="84" t="n">
        <x:v>0.08199999999999999</x:v>
      </x:c>
      <x:c r="O38" s="84" t="n">
        <x:v>0.336</x:v>
      </x:c>
      <x:c r="P38" s="84" t="n">
        <x:v>0.003</x:v>
      </x:c>
      <x:c r="Q38" s="84" t="n">
        <x:v>0.33</x:v>
      </x:c>
      <x:c r="R38" s="84" t="n">
        <x:v>0.111</x:v>
      </x:c>
      <x:c r="S38" t="str">
        <x:v>01:36</x:v>
      </x:c>
      <x:c r="T38" t="str">
        <x:v>01:29</x:v>
      </x:c>
    </x:row>
    <x:row r="39">
      <x:c r="A39" s="70" t="str">
        <x:v>38529</x:v>
      </x:c>
      <x:c r="B39" s="83" t="n">
        <x:v>46142.75</x:v>
      </x:c>
      <x:c r="C39" s="84" t="n">
        <x:v>0.295</x:v>
      </x:c>
      <x:c r="D39" s="86" t="n">
        <x:v>6.5</x:v>
      </x:c>
      <x:c r="E39" s="86" t="n">
        <x:v>16.7</x:v>
      </x:c>
      <x:c r="F39" s="84" t="n">
        <x:v>0.139</x:v>
      </x:c>
      <x:c r="G39" s="84" t="n">
        <x:v>-0.002</x:v>
      </x:c>
      <x:c r="H39" s="85" t="n">
        <x:v>7600000</x:v>
      </x:c>
      <x:c r="I39" s="84" t="n">
        <x:v>-0.079</x:v>
      </x:c>
      <x:c r="J39" s="86" t="n">
        <x:v>-25.4</x:v>
      </x:c>
      <x:c r="K39" s="86" t="n">
        <x:v>67.8</x:v>
      </x:c>
      <x:c r="L39" s="84" t="n">
        <x:v>0.491</x:v>
      </x:c>
      <x:c r="M39" s="84" t="n">
        <x:v>0.58</x:v>
      </x:c>
      <x:c r="N39" s="84" t="n">
        <x:v>0.061</x:v>
      </x:c>
      <x:c r="O39" s="84" t="n">
        <x:v>0.377</x:v>
      </x:c>
      <x:c r="P39" s="84" t="n">
        <x:v>0.01</x:v>
      </x:c>
      <x:c r="Q39" s="84" t="n">
        <x:v>0.257</x:v>
      </x:c>
      <x:c r="R39" s="84" t="n">
        <x:v>-0.006</x:v>
      </x:c>
      <x:c r="S39"/>
      <x:c r="T39"/>
    </x:row>
    <x:row r="40">
      <x:c r="A40" s="70" t="str">
        <x:v>38431</x:v>
      </x:c>
      <x:c r="B40" s="83" t="n">
        <x:v>46142.75</x:v>
      </x:c>
      <x:c r="C40" s="84" t="n">
        <x:v>0.42100000000000004</x:v>
      </x:c>
      <x:c r="D40" s="86" t="n">
        <x:v>7</x:v>
      </x:c>
      <x:c r="E40" s="86" t="n">
        <x:v>17</x:v>
      </x:c>
      <x:c r="F40" s="84" t="n">
        <x:v>0.149</x:v>
      </x:c>
      <x:c r="G40" s="84" t="n">
        <x:v>-0.015</x:v>
      </x:c>
      <x:c r="H40" s="85" t="n">
        <x:v>6400000</x:v>
      </x:c>
      <x:c r="I40" s="84" t="n">
        <x:v>0.005</x:v>
      </x:c>
      <x:c r="J40" s="86" t="n">
        <x:v>-20.8</x:v>
      </x:c>
      <x:c r="K40" s="86" t="n">
        <x:v>71.1</x:v>
      </x:c>
      <x:c r="L40" s="84" t="n">
        <x:v>0.465</x:v>
      </x:c>
      <x:c r="M40" s="84" t="n">
        <x:v>0.66</x:v>
      </x:c>
      <x:c r="N40" s="84" t="n">
        <x:v>0.079</x:v>
      </x:c>
      <x:c r="O40" s="84" t="n">
        <x:v>0.396</x:v>
      </x:c>
      <x:c r="P40" s="84" t="n">
        <x:v>0.035</x:v>
      </x:c>
      <x:c r="Q40" s="84" t="n">
        <x:v>0.129</x:v>
      </x:c>
      <x:c r="R40" s="84" t="n">
        <x:v>-0.034</x:v>
      </x:c>
      <x:c r="S40"/>
      <x:c r="T40"/>
    </x:row>
    <x:row r="41">
      <x:c r="A41" s="70" t="str">
        <x:v>38903</x:v>
      </x:c>
      <x:c r="B41" s="83" t="n">
        <x:v>46142.75</x:v>
      </x:c>
      <x:c r="C41" s="84" t="n">
        <x:v>0.42100000000000004</x:v>
      </x:c>
      <x:c r="D41" s="86" t="n">
        <x:v>6.9</x:v>
      </x:c>
      <x:c r="E41" s="86" t="n">
        <x:v>16.8</x:v>
      </x:c>
      <x:c r="F41" s="84" t="n">
        <x:v>0.141</x:v>
      </x:c>
      <x:c r="G41" s="84" t="n">
        <x:v>0.004</x:v>
      </x:c>
      <x:c r="H41" s="85" t="n">
        <x:v>8800000</x:v>
      </x:c>
      <x:c r="I41" s="84" t="n">
        <x:v>-0.054000000000000006</x:v>
      </x:c>
      <x:c r="J41" s="86" t="n">
        <x:v>-24.8</x:v>
      </x:c>
      <x:c r="K41" s="86" t="n">
        <x:v>61.5</x:v>
      </x:c>
      <x:c r="L41" s="84" t="n">
        <x:v>0.449</x:v>
      </x:c>
      <x:c r="M41" s="84" t="n">
        <x:v>0.56</x:v>
      </x:c>
      <x:c r="N41" s="84" t="n">
        <x:v>0.078</x:v>
      </x:c>
      <x:c r="O41" s="84" t="n">
        <x:v>0.379</x:v>
      </x:c>
      <x:c r="P41" s="84" t="n">
        <x:v>0.025</x:v>
      </x:c>
      <x:c r="Q41" s="84" t="n">
        <x:v>0.22699999999999998</x:v>
      </x:c>
      <x:c r="R41" s="84" t="n">
        <x:v>-0.043</x:v>
      </x:c>
      <x:c r="S41"/>
      <x:c r="T41"/>
    </x:row>
    <x:row r="42">
      <x:c r="A42" s="70" t="str">
        <x:v>38995</x:v>
      </x:c>
      <x:c r="B42" s="83" t="n">
        <x:v>46142.75</x:v>
      </x:c>
      <x:c r="C42" s="84" t="n">
        <x:v>0.23199999999999998</x:v>
      </x:c>
      <x:c r="D42" s="86" t="n">
        <x:v>6.4</x:v>
      </x:c>
      <x:c r="E42" s="86" t="n">
        <x:v>15.1</x:v>
      </x:c>
      <x:c r="F42" s="84" t="n">
        <x:v>0.161</x:v>
      </x:c>
      <x:c r="G42" s="84" t="n">
        <x:v>0.008</x:v>
      </x:c>
      <x:c r="H42" s="85" t="n">
        <x:v>5300000</x:v>
      </x:c>
      <x:c r="I42" s="84" t="n">
        <x:v>-0.08800000000000001</x:v>
      </x:c>
      <x:c r="J42" s="86" t="n">
        <x:v>-9.1</x:v>
      </x:c>
      <x:c r="K42" s="86" t="n">
        <x:v>75.3</x:v>
      </x:c>
      <x:c r="L42" s="84" t="n">
        <x:v>0.557</x:v>
      </x:c>
      <x:c r="M42" s="84" t="n">
        <x:v>0.65</x:v>
      </x:c>
      <x:c r="N42" s="84" t="n">
        <x:v>0.08199999999999999</x:v>
      </x:c>
      <x:c r="O42" s="84" t="n">
        <x:v>0.392</x:v>
      </x:c>
      <x:c r="P42" s="84" t="n">
        <x:v>0.040999999999999995</x:v>
      </x:c>
      <x:c r="Q42" s="84" t="n">
        <x:v>0.18899999999999997</x:v>
      </x:c>
      <x:c r="R42" s="84" t="n">
        <x:v>-0.042</x:v>
      </x:c>
      <x:c r="S42"/>
      <x:c r="T42"/>
    </x:row>
    <x:row r="43">
      <x:c r="A43" s="70" t="str">
        <x:v>38937</x:v>
      </x:c>
      <x:c r="B43" s="83" t="n">
        <x:v>46142.75</x:v>
      </x:c>
      <x:c r="C43" s="84" t="n">
        <x:v>0.081</x:v>
      </x:c>
      <x:c r="D43" s="86" t="n">
        <x:v>8.4</x:v>
      </x:c>
      <x:c r="E43" s="86" t="n">
        <x:v>21.3</x:v>
      </x:c>
      <x:c r="F43" s="84" t="n">
        <x:v>0.136</x:v>
      </x:c>
      <x:c r="G43" s="84" t="n">
        <x:v>0.006999999999999999</x:v>
      </x:c>
      <x:c r="H43" s="85" t="n">
        <x:v>9600000</x:v>
      </x:c>
      <x:c r="I43" s="84" t="n">
        <x:v>-0.038</x:v>
      </x:c>
      <x:c r="J43" s="86" t="n">
        <x:v>17.9</x:v>
      </x:c>
      <x:c r="K43" s="86" t="n">
        <x:v>62.5</x:v>
      </x:c>
      <x:c r="L43" s="84" t="n">
        <x:v>0.369</x:v>
      </x:c>
      <x:c r="M43" s="84" t="n">
        <x:v>0.53</x:v>
      </x:c>
      <x:c r="N43" s="84" t="n">
        <x:v>0.10400000000000001</x:v>
      </x:c>
      <x:c r="O43" s="84" t="n">
        <x:v>0.35200000000000004</x:v>
      </x:c>
      <x:c r="P43" s="84" t="n">
        <x:v>-0.016</x:v>
      </x:c>
      <x:c r="Q43" s="84" t="n">
        <x:v>0.27399999999999997</x:v>
      </x:c>
      <x:c r="R43" s="84" t="n">
        <x:v>0.015</x:v>
      </x:c>
      <x:c r="S43"/>
      <x:c r="T43"/>
    </x:row>
    <x:row r="44">
      <x:c r="A44" s="70" t="str">
        <x:v>38965</x:v>
      </x:c>
      <x:c r="B44" s="83" t="n">
        <x:v>46142.75</x:v>
      </x:c>
      <x:c r="C44" s="84" t="n">
        <x:v>0</x:v>
      </x:c>
      <x:c r="D44" s="86" t="n">
        <x:v>7</x:v>
      </x:c>
      <x:c r="E44" s="86" t="n">
        <x:v>15.8</x:v>
      </x:c>
      <x:c r="F44" s="84" t="n">
        <x:v>0.165</x:v>
      </x:c>
      <x:c r="G44" s="84" t="n">
        <x:v>0.01</x:v>
      </x:c>
      <x:c r="H44" s="85" t="n">
        <x:v>5100000</x:v>
      </x:c>
      <x:c r="I44" s="84" t="n">
        <x:v>-0.08199999999999999</x:v>
      </x:c>
      <x:c r="J44" s="86" t="n">
        <x:v>-11.1</x:v>
      </x:c>
      <x:c r="K44" s="86" t="n">
        <x:v>74.6</x:v>
      </x:c>
      <x:c r="L44" s="84" t="n">
        <x:v>0.48200000000000004</x:v>
      </x:c>
      <x:c r="M44" s="84" t="n">
        <x:v>0.64</x:v>
      </x:c>
      <x:c r="N44" s="84" t="n">
        <x:v>0.03</x:v>
      </x:c>
      <x:c r="O44" s="84" t="n">
        <x:v>0.359</x:v>
      </x:c>
      <x:c r="P44" s="84" t="n">
        <x:v>0.033</x:v>
      </x:c>
      <x:c r="Q44" s="84" t="n">
        <x:v>0.18899999999999997</x:v>
      </x:c>
      <x:c r="R44" s="84" t="n">
        <x:v>-0.051</x:v>
      </x:c>
      <x:c r="S44"/>
      <x:c r="T44"/>
    </x:row>
    <x:row r="45">
      <x:c r="A45" s="70" t="str">
        <x:v>38924</x:v>
      </x:c>
      <x:c r="B45" s="83" t="n">
        <x:v>46142.75</x:v>
      </x:c>
      <x:c r="C45" s="84" t="n">
        <x:v>0.08199999999999999</x:v>
      </x:c>
      <x:c r="D45" s="86" t="n">
        <x:v>5.7</x:v>
      </x:c>
      <x:c r="E45" s="86" t="n">
        <x:v>13.8</x:v>
      </x:c>
      <x:c r="F45" s="84" t="n">
        <x:v>0.161</x:v>
      </x:c>
      <x:c r="G45" s="84" t="n">
        <x:v>0.002</x:v>
      </x:c>
      <x:c r="H45" s="85" t="n">
        <x:v>5700000</x:v>
      </x:c>
      <x:c r="I45" s="84" t="n">
        <x:v>-0.07400000000000001</x:v>
      </x:c>
      <x:c r="J45" s="86" t="n">
        <x:v>-15.4</x:v>
      </x:c>
      <x:c r="K45" s="86" t="n">
        <x:v>74.1</x:v>
      </x:c>
      <x:c r="L45" s="84" t="n">
        <x:v>0.556</x:v>
      </x:c>
      <x:c r="M45" s="84" t="n">
        <x:v>0.66</x:v>
      </x:c>
      <x:c r="N45" s="84" t="n">
        <x:v>0.152</x:v>
      </x:c>
      <x:c r="O45" s="84" t="n">
        <x:v>0.379</x:v>
      </x:c>
      <x:c r="P45" s="84" t="n">
        <x:v>0.034</x:v>
      </x:c>
      <x:c r="Q45" s="84" t="n">
        <x:v>0.203</x:v>
      </x:c>
      <x:c r="R45" s="84" t="n">
        <x:v>-0.044000000000000004</x:v>
      </x:c>
      <x:c r="S45"/>
      <x:c r="T45"/>
    </x:row>
    <x:row r="46">
      <x:c r="A46" s="70" t="str">
        <x:v>38811</x:v>
      </x:c>
      <x:c r="B46" s="83" t="n">
        <x:v>46142.75</x:v>
      </x:c>
      <x:c r="C46" s="84" t="n">
        <x:v>0.41100000000000003</x:v>
      </x:c>
      <x:c r="D46" s="86" t="n">
        <x:v>9.6</x:v>
      </x:c>
      <x:c r="E46" s="86" t="n">
        <x:v>24.2</x:v>
      </x:c>
      <x:c r="F46" s="84" t="n">
        <x:v>0.129</x:v>
      </x:c>
      <x:c r="G46" s="84" t="n">
        <x:v>-0.002</x:v>
      </x:c>
      <x:c r="H46" s="85" t="n">
        <x:v>7900000</x:v>
      </x:c>
      <x:c r="I46" s="84" t="n">
        <x:v>-0.087</x:v>
      </x:c>
      <x:c r="J46" s="86" t="n">
        <x:v>-38.2</x:v>
      </x:c>
      <x:c r="K46" s="86" t="n">
        <x:v>58.6</x:v>
      </x:c>
      <x:c r="L46" s="84" t="n">
        <x:v>0.409</x:v>
      </x:c>
      <x:c r="M46" s="84" t="n">
        <x:v>0.57</x:v>
      </x:c>
      <x:c r="N46" s="84" t="n">
        <x:v>0.139</x:v>
      </x:c>
      <x:c r="O46" s="84" t="n">
        <x:v>0.376</x:v>
      </x:c>
      <x:c r="P46" s="84" t="n">
        <x:v>0.045</x:v>
      </x:c>
      <x:c r="Q46" s="84" t="n">
        <x:v>0.235</x:v>
      </x:c>
      <x:c r="R46" s="84" t="n">
        <x:v>-0.044000000000000004</x:v>
      </x:c>
      <x:c r="S46"/>
      <x:c r="T46"/>
    </x:row>
    <x:row r="47">
      <x:c r="A47" s="70" t="str">
        <x:v>38992</x:v>
      </x:c>
      <x:c r="B47" s="83" t="n">
        <x:v>46142.75</x:v>
      </x:c>
      <x:c r="C47" s="84" t="n">
        <x:v>0.294</x:v>
      </x:c>
      <x:c r="D47" s="86" t="n">
        <x:v>7</x:v>
      </x:c>
      <x:c r="E47" s="86" t="n">
        <x:v>15.1</x:v>
      </x:c>
      <x:c r="F47" s="84" t="n">
        <x:v>0.14300000000000002</x:v>
      </x:c>
      <x:c r="G47" s="84" t="n">
        <x:v>-0.013000000000000001</x:v>
      </x:c>
      <x:c r="H47" s="85" t="n">
        <x:v>7400000</x:v>
      </x:c>
      <x:c r="I47" s="84" t="n">
        <x:v>0.122</x:v>
      </x:c>
      <x:c r="J47" s="86" t="n">
        <x:v>8.8</x:v>
      </x:c>
      <x:c r="K47" s="86" t="n">
        <x:v>63.6</x:v>
      </x:c>
      <x:c r="L47" s="84" t="n">
        <x:v>0.564</x:v>
      </x:c>
      <x:c r="M47" s="84" t="n">
        <x:v>0.54</x:v>
      </x:c>
      <x:c r="N47" s="84" t="n">
        <x:v>0.08800000000000001</x:v>
      </x:c>
      <x:c r="O47" s="84" t="n">
        <x:v>0.34700000000000003</x:v>
      </x:c>
      <x:c r="P47" s="84" t="n">
        <x:v>-0.018000000000000002</x:v>
      </x:c>
      <x:c r="Q47" s="84" t="n">
        <x:v>0.21100000000000002</x:v>
      </x:c>
      <x:c r="R47" s="84" t="n">
        <x:v>0.023</x:v>
      </x:c>
      <x:c r="S47"/>
      <x:c r="T47"/>
    </x:row>
    <x:row r="48">
      <x:c r="A48" s="70" t="str">
        <x:v>38695</x:v>
      </x:c>
      <x:c r="B48" s="83" t="n">
        <x:v>46142.75</x:v>
      </x:c>
      <x:c r="C48" s="84" t="n">
        <x:v>0.375</x:v>
      </x:c>
      <x:c r="D48" s="86" t="n">
        <x:v>7.6</x:v>
      </x:c>
      <x:c r="E48" s="86" t="n">
        <x:v>15.3</x:v>
      </x:c>
      <x:c r="F48" s="84" t="n">
        <x:v>0.145</x:v>
      </x:c>
      <x:c r="G48" s="84" t="n">
        <x:v>-0.008</x:v>
      </x:c>
      <x:c r="H48" s="85" t="n">
        <x:v>7800000</x:v>
      </x:c>
      <x:c r="I48" s="84" t="n">
        <x:v>-0.051</x:v>
      </x:c>
      <x:c r="J48" s="86" t="n">
        <x:v>6.5</x:v>
      </x:c>
      <x:c r="K48" s="86" t="n">
        <x:v>56.7</x:v>
      </x:c>
      <x:c r="L48" s="84" t="n">
        <x:v>0.39399999999999996</x:v>
      </x:c>
      <x:c r="M48" s="84" t="n">
        <x:v>0.54</x:v>
      </x:c>
      <x:c r="N48" s="84" t="n">
        <x:v>0.063</x:v>
      </x:c>
      <x:c r="O48" s="84" t="n">
        <x:v>0.379</x:v>
      </x:c>
      <x:c r="P48" s="84" t="n">
        <x:v>-0.001</x:v>
      </x:c>
      <x:c r="Q48" s="84" t="n">
        <x:v>0.21600000000000003</x:v>
      </x:c>
      <x:c r="R48" s="84" t="n">
        <x:v>0.003</x:v>
      </x:c>
      <x:c r="S48"/>
      <x:c r="T48"/>
    </x:row>
    <x:row r="49">
      <x:c r="A49" s="70" t="str">
        <x:v>38197</x:v>
      </x:c>
      <x:c r="B49" s="83" t="n">
        <x:v>46142.75</x:v>
      </x:c>
      <x:c r="C49" s="84" t="n">
        <x:v>0.201</x:v>
      </x:c>
      <x:c r="D49" s="86" t="n">
        <x:v>5.9</x:v>
      </x:c>
      <x:c r="E49" s="86" t="n">
        <x:v>14.9</x:v>
      </x:c>
      <x:c r="F49" s="84" t="n">
        <x:v>0.15</x:v>
      </x:c>
      <x:c r="G49" s="84" t="n">
        <x:v>-0.06</x:v>
      </x:c>
      <x:c r="H49" s="85" t="n">
        <x:v>8100000</x:v>
      </x:c>
      <x:c r="I49" s="84" t="n">
        <x:v>0.336</x:v>
      </x:c>
      <x:c r="J49" s="86" t="n">
        <x:v>-35.1</x:v>
      </x:c>
      <x:c r="K49" s="86" t="n">
        <x:v>65.6</x:v>
      </x:c>
      <x:c r="L49" s="84" t="n">
        <x:v>0.514</x:v>
      </x:c>
      <x:c r="M49" s="84" t="n">
        <x:v>0.59</x:v>
      </x:c>
      <x:c r="N49" s="84" t="n">
        <x:v>0.111</x:v>
      </x:c>
      <x:c r="O49" s="84" t="n">
        <x:v>0.349</x:v>
      </x:c>
      <x:c r="P49" s="84" t="n">
        <x:v>0.006</x:v>
      </x:c>
      <x:c r="Q49" s="84" t="n">
        <x:v>0.22699999999999998</x:v>
      </x:c>
      <x:c r="R49" s="84" t="n">
        <x:v>0.038</x:v>
      </x:c>
      <x:c r="S49"/>
      <x:c r="T49"/>
    </x:row>
    <x:row r="50">
      <x:c r="A50" s="70" t="str">
        <x:v>38458</x:v>
      </x:c>
      <x:c r="B50" s="83" t="n">
        <x:v>46142.75</x:v>
      </x:c>
      <x:c r="C50" s="84" t="n">
        <x:v>0.331</x:v>
      </x:c>
      <x:c r="D50" s="86" t="n">
        <x:v>7.8</x:v>
      </x:c>
      <x:c r="E50" s="86" t="n">
        <x:v>16.7</x:v>
      </x:c>
      <x:c r="F50" s="84" t="n">
        <x:v>0.14</x:v>
      </x:c>
      <x:c r="G50" s="84" t="n">
        <x:v>-0.004</x:v>
      </x:c>
      <x:c r="H50" s="85" t="n">
        <x:v>6700000</x:v>
      </x:c>
      <x:c r="I50" s="84" t="n">
        <x:v>0</x:v>
      </x:c>
      <x:c r="J50" s="86" t="n">
        <x:v>-17.1</x:v>
      </x:c>
      <x:c r="K50" s="86" t="n">
        <x:v>58.5</x:v>
      </x:c>
      <x:c r="L50" s="84" t="n">
        <x:v>0.44299999999999995</x:v>
      </x:c>
      <x:c r="M50" s="84" t="n">
        <x:v>0.58</x:v>
      </x:c>
      <x:c r="N50" s="84" t="n">
        <x:v>0.040999999999999995</x:v>
      </x:c>
      <x:c r="O50" s="84" t="n">
        <x:v>0.37799999999999995</x:v>
      </x:c>
      <x:c r="P50" s="84" t="n">
        <x:v>0.027000000000000003</x:v>
      </x:c>
      <x:c r="Q50" s="84" t="n">
        <x:v>0.22899999999999998</x:v>
      </x:c>
      <x:c r="R50" s="84" t="n">
        <x:v>-0.026000000000000002</x:v>
      </x:c>
      <x:c r="S50"/>
      <x:c r="T50"/>
    </x:row>
    <x:row r="51">
      <x:c r="A51" s="70" t="str">
        <x:v>38770</x:v>
      </x:c>
      <x:c r="B51" s="83" t="n">
        <x:v>46142.75</x:v>
      </x:c>
      <x:c r="C51" s="84" t="n">
        <x:v>0.127</x:v>
      </x:c>
      <x:c r="D51" s="86" t="n">
        <x:v>5.7</x:v>
      </x:c>
      <x:c r="E51" s="86" t="n">
        <x:v>13.7</x:v>
      </x:c>
      <x:c r="F51" s="84" t="n">
        <x:v>0.20800000000000002</x:v>
      </x:c>
      <x:c r="G51" s="84" t="n">
        <x:v>0.021</x:v>
      </x:c>
      <x:c r="H51" s="85" t="n">
        <x:v>4200000</x:v>
      </x:c>
      <x:c r="I51" s="84" t="n">
        <x:v>-0.16</x:v>
      </x:c>
      <x:c r="J51" s="86" t="n">
        <x:v>-19</x:v>
      </x:c>
      <x:c r="K51" s="86" t="n">
        <x:v>81.7</x:v>
      </x:c>
      <x:c r="L51" s="84" t="n">
        <x:v>0.5660000000000001</x:v>
      </x:c>
      <x:c r="M51" s="84" t="n">
        <x:v>0.64</x:v>
      </x:c>
      <x:c r="N51" s="84" t="n">
        <x:v>0.067</x:v>
      </x:c>
      <x:c r="O51" s="84" t="n">
        <x:v>0.395</x:v>
      </x:c>
      <x:c r="P51" s="84" t="n">
        <x:v>0.006</x:v>
      </x:c>
      <x:c r="Q51" s="84" t="n">
        <x:v>0.133</x:v>
      </x:c>
      <x:c r="R51" s="84" t="n">
        <x:v>-0.028999999999999998</x:v>
      </x:c>
      <x:c r="S51"/>
      <x:c r="T51"/>
    </x:row>
    <x:row r="52">
      <x:c r="A52" s="70" t="str">
        <x:v>38561</x:v>
      </x:c>
      <x:c r="B52" s="83" t="n">
        <x:v>46142.75</x:v>
      </x:c>
      <x:c r="C52" s="84" t="n">
        <x:v>0.498</x:v>
      </x:c>
      <x:c r="D52" s="86" t="n">
        <x:v>7.1</x:v>
      </x:c>
      <x:c r="E52" s="86" t="n">
        <x:v>15.6</x:v>
      </x:c>
      <x:c r="F52" s="84" t="n">
        <x:v>0.142</x:v>
      </x:c>
      <x:c r="G52" s="84" t="n">
        <x:v>0.005</x:v>
      </x:c>
      <x:c r="H52" s="85" t="n">
        <x:v>9000000</x:v>
      </x:c>
      <x:c r="I52" s="84" t="n">
        <x:v>-0.07200000000000001</x:v>
      </x:c>
      <x:c r="J52" s="86" t="n">
        <x:v>-29.9</x:v>
      </x:c>
      <x:c r="K52" s="86" t="n">
        <x:v>59.9</x:v>
      </x:c>
      <x:c r="L52" s="84" t="n">
        <x:v>0.44799999999999995</x:v>
      </x:c>
      <x:c r="M52" s="84" t="n">
        <x:v>0.56</x:v>
      </x:c>
      <x:c r="N52" s="84" t="n">
        <x:v>0.057999999999999996</x:v>
      </x:c>
      <x:c r="O52" s="84" t="n">
        <x:v>0.349</x:v>
      </x:c>
      <x:c r="P52" s="84" t="n">
        <x:v>-0.004</x:v>
      </x:c>
      <x:c r="Q52" s="84" t="n">
        <x:v>0.24100000000000002</x:v>
      </x:c>
      <x:c r="R52" s="84" t="n">
        <x:v>0.003</x:v>
      </x:c>
      <x:c r="S52"/>
      <x:c r="T52"/>
    </x:row>
    <x:row r="53">
      <x:c r="A53" s="70" t="str">
        <x:v>38590</x:v>
      </x:c>
      <x:c r="B53" s="83" t="n">
        <x:v>46142.75</x:v>
      </x:c>
      <x:c r="C53" s="84" t="n">
        <x:v>0.26899999999999996</x:v>
      </x:c>
      <x:c r="D53" s="86" t="n">
        <x:v>6.4</x:v>
      </x:c>
      <x:c r="E53" s="86" t="n">
        <x:v>14.5</x:v>
      </x:c>
      <x:c r="F53" s="84" t="n">
        <x:v>0.14400000000000002</x:v>
      </x:c>
      <x:c r="G53" s="84" t="n">
        <x:v>0.009000000000000001</x:v>
      </x:c>
      <x:c r="H53" s="85" t="n">
        <x:v>7600000</x:v>
      </x:c>
      <x:c r="I53" s="84" t="n">
        <x:v>-0.121</x:v>
      </x:c>
      <x:c r="J53" s="86" t="n">
        <x:v>-8.4</x:v>
      </x:c>
      <x:c r="K53" s="86" t="n">
        <x:v>67.3</x:v>
      </x:c>
      <x:c r="L53" s="84" t="n">
        <x:v>0.515</x:v>
      </x:c>
      <x:c r="M53" s="84" t="n">
        <x:v>0.59</x:v>
      </x:c>
      <x:c r="N53" s="84" t="n">
        <x:v>0.076</x:v>
      </x:c>
      <x:c r="O53" s="84" t="n">
        <x:v>0.33899999999999997</x:v>
      </x:c>
      <x:c r="P53" s="84" t="n">
        <x:v>-0.012</x:v>
      </x:c>
      <x:c r="Q53" s="84" t="n">
        <x:v>0.256</x:v>
      </x:c>
      <x:c r="R53" s="84" t="n">
        <x:v>-0.005</x:v>
      </x:c>
      <x:c r="S53"/>
      <x:c r="T53"/>
    </x:row>
    <x:row r="54">
      <x:c r="A54" s="70" t="str">
        <x:v>38176</x:v>
      </x:c>
      <x:c r="B54" s="83" t="n">
        <x:v>46142.75</x:v>
      </x:c>
      <x:c r="C54" s="84" t="n">
        <x:v>0.43200000000000005</x:v>
      </x:c>
      <x:c r="D54" s="86" t="n">
        <x:v>4.3</x:v>
      </x:c>
      <x:c r="E54" s="86" t="n">
        <x:v>10.8</x:v>
      </x:c>
      <x:c r="F54" s="84" t="n">
        <x:v>0.23800000000000002</x:v>
      </x:c>
      <x:c r="G54" s="84" t="n">
        <x:v>0.092</x:v>
      </x:c>
      <x:c r="H54" s="85" t="n">
        <x:v>4700000</x:v>
      </x:c>
      <x:c r="I54" s="84" t="n">
        <x:v>-0.542</x:v>
      </x:c>
      <x:c r="J54" s="86" t="n">
        <x:v>-270.7</x:v>
      </x:c>
      <x:c r="K54" s="86" t="n">
        <x:v>63</x:v>
      </x:c>
      <x:c r="L54" s="84" t="n">
        <x:v>0.52</x:v>
      </x:c>
      <x:c r="M54" s="84" t="n">
        <x:v>0.62</x:v>
      </x:c>
      <x:c r="N54" s="84" t="n">
        <x:v>0.18</x:v>
      </x:c>
      <x:c r="O54" s="84" t="n">
        <x:v>0.371</x:v>
      </x:c>
      <x:c r="P54" s="84" t="n">
        <x:v>0.019</x:v>
      </x:c>
      <x:c r="Q54" s="84" t="n">
        <x:v>0.006999999999999999</x:v>
      </x:c>
      <x:c r="R54" s="84" t="n">
        <x:v>-0.273</x:v>
      </x:c>
      <x:c r="S54" t="str">
        <x:v>01:42</x:v>
      </x:c>
      <x:c r="T54" t="str">
        <x:v>01:24</x:v>
      </x:c>
    </x:row>
    <x:row r="55">
      <x:c r="A55" s="70" t="str">
        <x:v>38427</x:v>
      </x:c>
      <x:c r="B55" s="83" t="n">
        <x:v>46142.75</x:v>
      </x:c>
      <x:c r="C55" s="84" t="n">
        <x:v>0.247</x:v>
      </x:c>
      <x:c r="D55" s="86" t="n">
        <x:v>6</x:v>
      </x:c>
      <x:c r="E55" s="86" t="n">
        <x:v>14.4</x:v>
      </x:c>
      <x:c r="F55" s="84" t="n">
        <x:v>0.161</x:v>
      </x:c>
      <x:c r="G55" s="84" t="n">
        <x:v>0.022000000000000002</x:v>
      </x:c>
      <x:c r="H55" s="85" t="n">
        <x:v>8199999.999999999</x:v>
      </x:c>
      <x:c r="I55" s="84" t="n">
        <x:v>-0.109</x:v>
      </x:c>
      <x:c r="J55" s="86" t="n">
        <x:v>-7.2</x:v>
      </x:c>
      <x:c r="K55" s="86" t="n">
        <x:v>74.1</x:v>
      </x:c>
      <x:c r="L55" s="84" t="n">
        <x:v>0.46299999999999997</x:v>
      </x:c>
      <x:c r="M55" s="84" t="n">
        <x:v>0.66</x:v>
      </x:c>
      <x:c r="N55" s="84" t="n">
        <x:v>0.05</x:v>
      </x:c>
      <x:c r="O55" s="84" t="n">
        <x:v>0.33799999999999997</x:v>
      </x:c>
      <x:c r="P55" s="84" t="n">
        <x:v>-0.027999999999999997</x:v>
      </x:c>
      <x:c r="Q55" s="84" t="n">
        <x:v>0.251</x:v>
      </x:c>
      <x:c r="R55" s="84" t="n">
        <x:v>0.055999999999999994</x:v>
      </x:c>
      <x:c r="S55"/>
      <x:c r="T55"/>
    </x:row>
    <x:row r="56">
      <x:c r="A56" s="70" t="str">
        <x:v>38859</x:v>
      </x:c>
      <x:c r="B56" s="83" t="n">
        <x:v>46142.75</x:v>
      </x:c>
      <x:c r="C56" s="84" t="n">
        <x:v>0.317</x:v>
      </x:c>
      <x:c r="D56" s="86" t="n">
        <x:v>5.5</x:v>
      </x:c>
      <x:c r="E56" s="86" t="n">
        <x:v>13.1</x:v>
      </x:c>
      <x:c r="F56" s="84" t="n">
        <x:v>0.17300000000000001</x:v>
      </x:c>
      <x:c r="G56" s="84" t="n">
        <x:v>0.035</x:v>
      </x:c>
      <x:c r="H56" s="85" t="n">
        <x:v>6500000</x:v>
      </x:c>
      <x:c r="I56" s="84" t="n">
        <x:v>-0.214</x:v>
      </x:c>
      <x:c r="J56" s="86" t="n">
        <x:v>-28.7</x:v>
      </x:c>
      <x:c r="K56" s="86" t="n">
        <x:v>62.5</x:v>
      </x:c>
      <x:c r="L56" s="84" t="n">
        <x:v>0.45</x:v>
      </x:c>
      <x:c r="M56" s="84" t="n">
        <x:v>0.56</x:v>
      </x:c>
      <x:c r="N56" s="84" t="n">
        <x:v>0.046</x:v>
      </x:c>
      <x:c r="O56" s="84" t="n">
        <x:v>0.359</x:v>
      </x:c>
      <x:c r="P56" s="84" t="n">
        <x:v>-0.011000000000000001</x:v>
      </x:c>
      <x:c r="Q56" s="84" t="n">
        <x:v>0.129</x:v>
      </x:c>
      <x:c r="R56" s="84" t="n">
        <x:v>-0.032</x:v>
      </x:c>
      <x:c r="S56"/>
      <x:c r="T56"/>
    </x:row>
    <x:row r="57">
      <x:c r="A57" s="70" t="str">
        <x:v>43152</x:v>
      </x:c>
      <x:c r="B57" s="83" t="n">
        <x:v>46142.75</x:v>
      </x:c>
      <x:c r="C57" s="84" t="n">
        <x:v>0.111</x:v>
      </x:c>
      <x:c r="D57" s="86" t="n">
        <x:v>5.8</x:v>
      </x:c>
      <x:c r="E57" s="86" t="n">
        <x:v>12.9</x:v>
      </x:c>
      <x:c r="F57" s="84" t="n">
        <x:v>0.188</x:v>
      </x:c>
      <x:c r="G57" s="84" t="n">
        <x:v>-0.057</x:v>
      </x:c>
      <x:c r="H57" s="85" t="n">
        <x:v>3700000</x:v>
      </x:c>
      <x:c r="I57" s="84" t="n">
        <x:v>0.07400000000000001</x:v>
      </x:c>
      <x:c r="J57" s="86" t="n">
        <x:v>226.1</x:v>
      </x:c>
      <x:c r="K57" s="86" t="n">
        <x:v>71.3</x:v>
      </x:c>
      <x:c r="L57" s="84" t="n">
        <x:v>0.5710000000000001</x:v>
      </x:c>
      <x:c r="M57" s="84" t="n">
        <x:v>0.65</x:v>
      </x:c>
      <x:c r="N57" s="84" t="n">
        <x:v>0.095</x:v>
      </x:c>
      <x:c r="O57" s="84" t="n">
        <x:v>0.382</x:v>
      </x:c>
      <x:c r="P57" s="84" t="n">
        <x:v>0.052000000000000005</x:v>
      </x:c>
      <x:c r="Q57" s="84" t="n">
        <x:v>0.08</x:v>
      </x:c>
      <x:c r="R57" s="84" t="n">
        <x:v>0.08</x:v>
      </x:c>
      <x:c r="S57"/>
      <x:c r="T57"/>
    </x:row>
    <x:row r="58">
      <x:c r="A58" s="70" t="str">
        <x:v>38117</x:v>
      </x:c>
      <x:c r="B58" s="83" t="n">
        <x:v>46142.75</x:v>
      </x:c>
      <x:c r="C58" s="84" t="n">
        <x:v>0.39899999999999997</x:v>
      </x:c>
      <x:c r="D58" s="86" t="n">
        <x:v>4.6</x:v>
      </x:c>
      <x:c r="E58" s="86" t="n">
        <x:v>10.6</x:v>
      </x:c>
      <x:c r="F58" s="84" t="n">
        <x:v>0.297</x:v>
      </x:c>
      <x:c r="G58" s="84" t="n">
        <x:v>0.11199999999999999</x:v>
      </x:c>
      <x:c r="H58" s="85" t="n">
        <x:v>3300000</x:v>
      </x:c>
      <x:c r="I58" s="84" t="n">
        <x:v>-0.255</x:v>
      </x:c>
      <x:c r="J58" s="86" t="n">
        <x:v>-41.1</x:v>
      </x:c>
      <x:c r="K58" s="86" t="n">
        <x:v>71.4</x:v>
      </x:c>
      <x:c r="L58" s="84" t="n">
        <x:v>0.607</x:v>
      </x:c>
      <x:c r="M58" s="84" t="n">
        <x:v>0.66</x:v>
      </x:c>
      <x:c r="N58" s="84" t="n">
        <x:v>0.08800000000000001</x:v>
      </x:c>
      <x:c r="O58" s="84" t="n">
        <x:v>0.419</x:v>
      </x:c>
      <x:c r="P58" s="84" t="n">
        <x:v>0.03</x:v>
      </x:c>
      <x:c r="Q58" s="84" t="n">
        <x:v>-0.163</x:v>
      </x:c>
      <x:c r="R58" s="84" t="n">
        <x:v>-0.16</x:v>
      </x:c>
      <x:c r="S58"/>
      <x:c r="T58"/>
    </x:row>
    <x:row r="59">
      <x:c r="A59" s="70" t="str">
        <x:v>38475</x:v>
      </x:c>
      <x:c r="B59" s="83" t="n">
        <x:v>46142.75</x:v>
      </x:c>
      <x:c r="C59" s="84" t="n">
        <x:v>0.703</x:v>
      </x:c>
      <x:c r="D59" s="86" t="n">
        <x:v>7</x:v>
      </x:c>
      <x:c r="E59" s="86" t="n">
        <x:v>16.9</x:v>
      </x:c>
      <x:c r="F59" s="84" t="n">
        <x:v>0.157</x:v>
      </x:c>
      <x:c r="G59" s="84" t="n">
        <x:v>0.005</x:v>
      </x:c>
      <x:c r="H59" s="85" t="n">
        <x:v>7800000</x:v>
      </x:c>
      <x:c r="I59" s="84" t="n">
        <x:v>-0.055</x:v>
      </x:c>
      <x:c r="J59" s="86" t="n">
        <x:v>-1.4</x:v>
      </x:c>
      <x:c r="K59" s="86" t="n">
        <x:v>65.8</x:v>
      </x:c>
      <x:c r="L59" s="84" t="n">
        <x:v>0.484</x:v>
      </x:c>
      <x:c r="M59" s="84" t="n">
        <x:v>0.56</x:v>
      </x:c>
      <x:c r="N59" s="84" t="n">
        <x:v>0.113</x:v>
      </x:c>
      <x:c r="O59" s="84" t="n">
        <x:v>0.37799999999999995</x:v>
      </x:c>
      <x:c r="P59" s="84" t="n">
        <x:v>-0.006</x:v>
      </x:c>
      <x:c r="Q59" s="84" t="n">
        <x:v>0.231</x:v>
      </x:c>
      <x:c r="R59" s="84" t="n">
        <x:v>-0.006</x:v>
      </x:c>
      <x:c r="S59"/>
      <x:c r="T59"/>
    </x:row>
    <x:row r="60">
      <x:c r="A60" s="70" t="str">
        <x:v>38656</x:v>
      </x:c>
      <x:c r="B60" s="83" t="n">
        <x:v>46142.75</x:v>
      </x:c>
      <x:c r="C60" s="84" t="n">
        <x:v>0.47200000000000003</x:v>
      </x:c>
      <x:c r="D60" s="86" t="n">
        <x:v>5.3</x:v>
      </x:c>
      <x:c r="E60" s="86" t="n">
        <x:v>12.8</x:v>
      </x:c>
      <x:c r="F60" s="84" t="n">
        <x:v>0.16399999999999998</x:v>
      </x:c>
      <x:c r="G60" s="84" t="n">
        <x:v>0.019</x:v>
      </x:c>
      <x:c r="H60" s="85" t="n">
        <x:v>10300000</x:v>
      </x:c>
      <x:c r="I60" s="84" t="n">
        <x:v>-0.171</x:v>
      </x:c>
      <x:c r="J60" s="86" t="n">
        <x:v>-140.8</x:v>
      </x:c>
      <x:c r="K60" s="86" t="n">
        <x:v>73.7</x:v>
      </x:c>
      <x:c r="L60" s="84" t="n">
        <x:v>0.564</x:v>
      </x:c>
      <x:c r="M60" s="84" t="n">
        <x:v>0.62</x:v>
      </x:c>
      <x:c r="N60" s="84" t="n">
        <x:v>0.14800000000000002</x:v>
      </x:c>
      <x:c r="O60" s="84" t="n">
        <x:v>0.349</x:v>
      </x:c>
      <x:c r="P60" s="84" t="n">
        <x:v>-0.009000000000000001</x:v>
      </x:c>
      <x:c r="Q60" s="84" t="n">
        <x:v>0.201</x:v>
      </x:c>
      <x:c r="R60" s="84" t="n">
        <x:v>-0.05</x:v>
      </x:c>
      <x:c r="S60" t="str">
        <x:v>01:20</x:v>
      </x:c>
      <x:c r="T60" t="str">
        <x:v>01:15</x:v>
      </x:c>
    </x:row>
    <x:row r="61">
      <x:c r="A61" s="70" t="str">
        <x:v>43043</x:v>
      </x:c>
      <x:c r="B61" s="83" t="n">
        <x:v>46142.75</x:v>
      </x:c>
      <x:c r="C61" s="84" t="n">
        <x:v>0.479</x:v>
      </x:c>
      <x:c r="D61" s="86" t="n">
        <x:v>8.2</x:v>
      </x:c>
      <x:c r="E61" s="86" t="n">
        <x:v>20.7</x:v>
      </x:c>
      <x:c r="F61" s="84" t="n">
        <x:v>0.158</x:v>
      </x:c>
      <x:c r="G61" s="84" t="n">
        <x:v>-0.011000000000000001</x:v>
      </x:c>
      <x:c r="H61" s="85" t="n">
        <x:v>5100000</x:v>
      </x:c>
      <x:c r="I61" s="84" t="n">
        <x:v>-0.038</x:v>
      </x:c>
      <x:c r="J61" s="86" t="n">
        <x:v>-22.3</x:v>
      </x:c>
      <x:c r="K61" s="86" t="n">
        <x:v>80.5</x:v>
      </x:c>
      <x:c r="L61" s="84" t="n">
        <x:v>0.514</x:v>
      </x:c>
      <x:c r="M61" s="84" t="n">
        <x:v>0.67</x:v>
      </x:c>
      <x:c r="N61" s="84" t="n">
        <x:v>0.132</x:v>
      </x:c>
      <x:c r="O61" s="84" t="n">
        <x:v>0.355</x:v>
      </x:c>
      <x:c r="P61" s="84" t="n">
        <x:v>-0.008</x:v>
      </x:c>
      <x:c r="Q61" s="84" t="n">
        <x:v>0.237</x:v>
      </x:c>
      <x:c r="R61" s="84" t="n">
        <x:v>0.023</x:v>
      </x:c>
      <x:c r="S61"/>
      <x:c r="T61"/>
    </x:row>
    <x:row r="62">
      <x:c r="A62" s="70" t="str">
        <x:v>38149</x:v>
      </x:c>
      <x:c r="B62" s="83" t="n">
        <x:v>46142.75</x:v>
      </x:c>
      <x:c r="C62" s="84" t="n">
        <x:v>0.061</x:v>
      </x:c>
      <x:c r="D62" s="86" t="n">
        <x:v>5.9</x:v>
      </x:c>
      <x:c r="E62" s="86" t="n">
        <x:v>14.6</x:v>
      </x:c>
      <x:c r="F62" s="84" t="n">
        <x:v>0.171</x:v>
      </x:c>
      <x:c r="G62" s="84" t="n">
        <x:v>0.005</x:v>
      </x:c>
      <x:c r="H62" s="85" t="n">
        <x:v>5400000</x:v>
      </x:c>
      <x:c r="I62" s="84" t="n">
        <x:v>-0.068</x:v>
      </x:c>
      <x:c r="J62" s="86" t="n">
        <x:v>-9.6</x:v>
      </x:c>
      <x:c r="K62" s="86" t="n">
        <x:v>71.3</x:v>
      </x:c>
      <x:c r="L62" s="84" t="n">
        <x:v>0.588</x:v>
      </x:c>
      <x:c r="M62" s="84" t="n">
        <x:v>0.61</x:v>
      </x:c>
      <x:c r="N62" s="84" t="n">
        <x:v>0.12</x:v>
      </x:c>
      <x:c r="O62" s="84" t="n">
        <x:v>0.353</x:v>
      </x:c>
      <x:c r="P62" s="84" t="n">
        <x:v>-0.017</x:v>
      </x:c>
      <x:c r="Q62" s="84" t="n">
        <x:v>0.201</x:v>
      </x:c>
      <x:c r="R62" s="84" t="n">
        <x:v>0.027999999999999997</x:v>
      </x:c>
      <x:c r="S62"/>
      <x:c r="T62"/>
    </x:row>
    <x:row r="63">
      <x:c r="A63" s="70" t="str">
        <x:v>38394</x:v>
      </x:c>
      <x:c r="B63" s="83" t="n">
        <x:v>46142.75</x:v>
      </x:c>
      <x:c r="C63" s="84" t="n">
        <x:v>0.023</x:v>
      </x:c>
      <x:c r="D63" s="86" t="n">
        <x:v>5.8</x:v>
      </x:c>
      <x:c r="E63" s="86" t="n">
        <x:v>12.7</x:v>
      </x:c>
      <x:c r="F63" s="84" t="n">
        <x:v>0.19</x:v>
      </x:c>
      <x:c r="G63" s="84" t="n">
        <x:v>0.004</x:v>
      </x:c>
      <x:c r="H63" s="85" t="n">
        <x:v>4300000</x:v>
      </x:c>
      <x:c r="I63" s="84" t="n">
        <x:v>-0.077</x:v>
      </x:c>
      <x:c r="J63" s="86" t="n">
        <x:v>-20.5</x:v>
      </x:c>
      <x:c r="K63" s="86" t="n">
        <x:v>77.7</x:v>
      </x:c>
      <x:c r="L63" s="84" t="n">
        <x:v>0.514</x:v>
      </x:c>
      <x:c r="M63" s="84" t="n">
        <x:v>0.63</x:v>
      </x:c>
      <x:c r="N63" s="84" t="n">
        <x:v>0.107</x:v>
      </x:c>
      <x:c r="O63" s="84" t="n">
        <x:v>0.401</x:v>
      </x:c>
      <x:c r="P63" s="84" t="n">
        <x:v>0.012</x:v>
      </x:c>
      <x:c r="Q63" s="84" t="n">
        <x:v>0.114</x:v>
      </x:c>
      <x:c r="R63" s="84" t="n">
        <x:v>-0.024</x:v>
      </x:c>
      <x:c r="S63"/>
      <x:c r="T63"/>
    </x:row>
    <x:row r="64">
      <x:c r="A64" s="70" t="str">
        <x:v>38535</x:v>
      </x:c>
      <x:c r="B64" s="83" t="n">
        <x:v>46142.75</x:v>
      </x:c>
      <x:c r="C64" s="84" t="n">
        <x:v>0.82</x:v>
      </x:c>
      <x:c r="D64" s="86" t="n">
        <x:v>6.6</x:v>
      </x:c>
      <x:c r="E64" s="86" t="n">
        <x:v>15.7</x:v>
      </x:c>
      <x:c r="F64" s="84" t="n">
        <x:v>0.14</x:v>
      </x:c>
      <x:c r="G64" s="84" t="n">
        <x:v>0.006999999999999999</x:v>
      </x:c>
      <x:c r="H64" s="85" t="n">
        <x:v>14000000</x:v>
      </x:c>
      <x:c r="I64" s="84" t="n">
        <x:v>-0.05</x:v>
      </x:c>
      <x:c r="J64" s="86" t="n">
        <x:v>22.3</x:v>
      </x:c>
      <x:c r="K64" s="86" t="n">
        <x:v>51.2</x:v>
      </x:c>
      <x:c r="L64" s="84" t="n">
        <x:v>0.47700000000000004</x:v>
      </x:c>
      <x:c r="M64" s="84" t="n">
        <x:v>0.5</x:v>
      </x:c>
      <x:c r="N64" s="84" t="n">
        <x:v>0.127</x:v>
      </x:c>
      <x:c r="O64" s="84" t="n">
        <x:v>0.33</x:v>
      </x:c>
      <x:c r="P64" s="84" t="n">
        <x:v>-0.039</x:v>
      </x:c>
      <x:c r="Q64" s="84" t="n">
        <x:v>0.312</x:v>
      </x:c>
      <x:c r="R64" s="84" t="n">
        <x:v>0.025</x:v>
      </x:c>
      <x:c r="S64" t="str">
        <x:v>01:13</x:v>
      </x:c>
      <x:c r="T64" t="str">
        <x:v>01:27</x:v>
      </x:c>
    </x:row>
    <x:row r="65">
      <x:c r="A65" s="70" t="str">
        <x:v>38507</x:v>
      </x:c>
      <x:c r="B65" s="83" t="n">
        <x:v>46142.75</x:v>
      </x:c>
      <x:c r="C65" s="84" t="n">
        <x:v>0.5589999999999999</x:v>
      </x:c>
      <x:c r="D65" s="86" t="n">
        <x:v>4.9</x:v>
      </x:c>
      <x:c r="E65" s="86" t="n">
        <x:v>11.7</x:v>
      </x:c>
      <x:c r="F65" s="84" t="n">
        <x:v>0.24100000000000002</x:v>
      </x:c>
      <x:c r="G65" s="84" t="n">
        <x:v>0.055999999999999994</x:v>
      </x:c>
      <x:c r="H65" s="85" t="n">
        <x:v>3500000</x:v>
      </x:c>
      <x:c r="I65" s="84" t="n">
        <x:v>-0.08</x:v>
      </x:c>
      <x:c r="J65" s="86" t="n">
        <x:v>-19.8</x:v>
      </x:c>
      <x:c r="K65" s="86" t="n">
        <x:v>71.8</x:v>
      </x:c>
      <x:c r="L65" s="84" t="n">
        <x:v>0.61</x:v>
      </x:c>
      <x:c r="M65" s="84" t="n">
        <x:v>0.58</x:v>
      </x:c>
      <x:c r="N65" s="84" t="n">
        <x:v>0.11800000000000001</x:v>
      </x:c>
      <x:c r="O65" s="84" t="n">
        <x:v>0.38799999999999996</x:v>
      </x:c>
      <x:c r="P65" s="84" t="n">
        <x:v>0.011000000000000001</x:v>
      </x:c>
      <x:c r="Q65" s="84" t="n">
        <x:v>0.071</x:v>
      </x:c>
      <x:c r="R65" s="84" t="n">
        <x:v>-0.06</x:v>
      </x:c>
      <x:c r="S65"/>
      <x:c r="T65"/>
    </x:row>
    <x:row r="66">
      <x:c r="A66" s="70" t="str">
        <x:v>38363</x:v>
      </x:c>
      <x:c r="B66" s="83" t="n">
        <x:v>46142.75</x:v>
      </x:c>
      <x:c r="C66" s="84" t="n">
        <x:v>0.507</x:v>
      </x:c>
      <x:c r="D66" s="86" t="n">
        <x:v>6.5</x:v>
      </x:c>
      <x:c r="E66" s="86" t="n">
        <x:v>15.5</x:v>
      </x:c>
      <x:c r="F66" s="84" t="n">
        <x:v>0.156</x:v>
      </x:c>
      <x:c r="G66" s="84" t="n">
        <x:v>0.015</x:v>
      </x:c>
      <x:c r="H66" s="85" t="n">
        <x:v>7900000</x:v>
      </x:c>
      <x:c r="I66" s="84" t="n">
        <x:v>-0.036000000000000004</x:v>
      </x:c>
      <x:c r="J66" s="86" t="n">
        <x:v>9.7</x:v>
      </x:c>
      <x:c r="K66" s="86" t="n">
        <x:v>66</x:v>
      </x:c>
      <x:c r="L66" s="84" t="n">
        <x:v>0.41700000000000004</x:v>
      </x:c>
      <x:c r="M66" s="84" t="n">
        <x:v>0.5</x:v>
      </x:c>
      <x:c r="N66" s="84" t="n">
        <x:v>0.099</x:v>
      </x:c>
      <x:c r="O66" s="84" t="n">
        <x:v>0.342</x:v>
      </x:c>
      <x:c r="P66" s="84" t="n">
        <x:v>-0.008</x:v>
      </x:c>
      <x:c r="Q66" s="84" t="n">
        <x:v>0.255</x:v>
      </x:c>
      <x:c r="R66" s="84" t="n">
        <x:v>-0.006999999999999999</x:v>
      </x:c>
      <x:c r="S66"/>
      <x:c r="T66"/>
    </x:row>
    <x:row r="67">
      <x:c r="A67" s="70" t="str">
        <x:v>38119</x:v>
      </x:c>
      <x:c r="B67" s="83" t="n">
        <x:v>46142.75</x:v>
      </x:c>
      <x:c r="C67" s="84" t="n">
        <x:v>0.429</x:v>
      </x:c>
      <x:c r="D67" s="86" t="n">
        <x:v>6.6</x:v>
      </x:c>
      <x:c r="E67" s="86" t="n">
        <x:v>15.3</x:v>
      </x:c>
      <x:c r="F67" s="84" t="n">
        <x:v>0.156</x:v>
      </x:c>
      <x:c r="G67" s="84" t="n">
        <x:v>0.006</x:v>
      </x:c>
      <x:c r="H67" s="85" t="n">
        <x:v>6000000</x:v>
      </x:c>
      <x:c r="I67" s="84" t="n">
        <x:v>-0.043</x:v>
      </x:c>
      <x:c r="J67" s="86" t="n">
        <x:v>-15.3</x:v>
      </x:c>
      <x:c r="K67" s="86" t="n">
        <x:v>61.5</x:v>
      </x:c>
      <x:c r="L67" s="84" t="n">
        <x:v>0.486</x:v>
      </x:c>
      <x:c r="M67" s="84" t="n">
        <x:v>0.59</x:v>
      </x:c>
      <x:c r="N67" s="84" t="n">
        <x:v>0.128</x:v>
      </x:c>
      <x:c r="O67" s="84" t="n">
        <x:v>0.35600000000000004</x:v>
      </x:c>
      <x:c r="P67" s="84" t="n">
        <x:v>-0.024</x:v>
      </x:c>
      <x:c r="Q67" s="84" t="n">
        <x:v>0.228</x:v>
      </x:c>
      <x:c r="R67" s="84" t="n">
        <x:v>0.021</x:v>
      </x:c>
      <x:c r="S67"/>
      <x:c r="T67"/>
    </x:row>
    <x:row r="68">
      <x:c r="A68" s="70" t="str">
        <x:v>38270</x:v>
      </x:c>
      <x:c r="B68" s="83" t="n">
        <x:v>46142.75</x:v>
      </x:c>
      <x:c r="C68" s="84" t="n">
        <x:v>0.272</x:v>
      </x:c>
      <x:c r="D68" s="86" t="n">
        <x:v>5.7</x:v>
      </x:c>
      <x:c r="E68" s="86" t="n">
        <x:v>14</x:v>
      </x:c>
      <x:c r="F68" s="84" t="n">
        <x:v>0.19</x:v>
      </x:c>
      <x:c r="G68" s="84" t="n">
        <x:v>0.01</x:v>
      </x:c>
      <x:c r="H68" s="85" t="n">
        <x:v>4300000</x:v>
      </x:c>
      <x:c r="I68" s="84" t="n">
        <x:v>-0.086</x:v>
      </x:c>
      <x:c r="J68" s="86" t="n">
        <x:v>-14.5</x:v>
      </x:c>
      <x:c r="K68" s="86" t="n">
        <x:v>84.1</x:v>
      </x:c>
      <x:c r="L68" s="84" t="n">
        <x:v>0.509</x:v>
      </x:c>
      <x:c r="M68" s="84" t="n">
        <x:v>0.71</x:v>
      </x:c>
      <x:c r="N68" s="84" t="n">
        <x:v>0.159</x:v>
      </x:c>
      <x:c r="O68" s="84" t="n">
        <x:v>0.364</x:v>
      </x:c>
      <x:c r="P68" s="84" t="n">
        <x:v>0.017</x:v>
      </x:c>
      <x:c r="Q68" s="84" t="n">
        <x:v>0.09699999999999999</x:v>
      </x:c>
      <x:c r="R68" s="84" t="n">
        <x:v>-0.025</x:v>
      </x:c>
      <x:c r="S68"/>
      <x:c r="T68"/>
    </x:row>
    <x:row r="69">
      <x:c r="A69" s="70" t="str">
        <x:v>38266</x:v>
      </x:c>
      <x:c r="B69" s="83" t="n">
        <x:v>46142.75</x:v>
      </x:c>
      <x:c r="C69" s="84" t="n">
        <x:v>0.46</x:v>
      </x:c>
      <x:c r="D69" s="86" t="n">
        <x:v>6.5</x:v>
      </x:c>
      <x:c r="E69" s="86" t="n">
        <x:v>16.7</x:v>
      </x:c>
      <x:c r="F69" s="84" t="n">
        <x:v>0.172</x:v>
      </x:c>
      <x:c r="G69" s="84" t="n">
        <x:v>0.008</x:v>
      </x:c>
      <x:c r="H69" s="85" t="n">
        <x:v>5200000</x:v>
      </x:c>
      <x:c r="I69" s="84" t="n">
        <x:v>-0.11599999999999999</x:v>
      </x:c>
      <x:c r="J69" s="86" t="n">
        <x:v>-36.5</x:v>
      </x:c>
      <x:c r="K69" s="86" t="n">
        <x:v>61.1</x:v>
      </x:c>
      <x:c r="L69" s="84" t="n">
        <x:v>0.47100000000000003</x:v>
      </x:c>
      <x:c r="M69" s="84" t="n">
        <x:v>0.6</x:v>
      </x:c>
      <x:c r="N69" s="84" t="n">
        <x:v>0.19899999999999998</x:v>
      </x:c>
      <x:c r="O69" s="84" t="n">
        <x:v>0.419</x:v>
      </x:c>
      <x:c r="P69" s="84" t="n">
        <x:v>0.052000000000000005</x:v>
      </x:c>
      <x:c r="Q69" s="84" t="n">
        <x:v>0.11699999999999999</x:v>
      </x:c>
      <x:c r="R69" s="84" t="n">
        <x:v>-0.063</x:v>
      </x:c>
      <x:c r="S69"/>
      <x:c r="T69"/>
    </x:row>
    <x:row r="70">
      <x:c r="A70" s="70" t="str">
        <x:v>38925</x:v>
      </x:c>
      <x:c r="B70" s="83" t="n">
        <x:v>46142.75</x:v>
      </x:c>
      <x:c r="C70" s="84" t="n">
        <x:v>0.11699999999999999</x:v>
      </x:c>
      <x:c r="D70" s="86" t="n">
        <x:v>4.2</x:v>
      </x:c>
      <x:c r="E70" s="86" t="n">
        <x:v>10.9</x:v>
      </x:c>
      <x:c r="F70" s="84" t="n">
        <x:v>0.226</x:v>
      </x:c>
      <x:c r="G70" s="84" t="n">
        <x:v>0.004</x:v>
      </x:c>
      <x:c r="H70" s="85" t="n">
        <x:v>2900000</x:v>
      </x:c>
      <x:c r="I70" s="84" t="n">
        <x:v>-0.057</x:v>
      </x:c>
      <x:c r="J70" s="86" t="n">
        <x:v>-17.8</x:v>
      </x:c>
      <x:c r="K70" s="86" t="n">
        <x:v>77.9</x:v>
      </x:c>
      <x:c r="L70" s="84" t="n">
        <x:v>0.711</x:v>
      </x:c>
      <x:c r="M70" s="84" t="n">
        <x:v>0.7</x:v>
      </x:c>
      <x:c r="N70" s="84" t="n">
        <x:v>0.115</x:v>
      </x:c>
      <x:c r="O70" s="84" t="n">
        <x:v>0.384</x:v>
      </x:c>
      <x:c r="P70" s="84" t="n">
        <x:v>0.003</x:v>
      </x:c>
      <x:c r="Q70" s="84" t="n">
        <x:v>0.15</x:v>
      </x:c>
      <x:c r="R70" s="84" t="n">
        <x:v>0.055999999999999994</x:v>
      </x:c>
      <x:c r="S70"/>
      <x:c r="T70"/>
    </x:row>
    <x:row r="71">
      <x:c r="A71" s="70" t="str">
        <x:v>43130</x:v>
      </x:c>
      <x:c r="B71" s="83" t="n">
        <x:v>46142.75</x:v>
      </x:c>
      <x:c r="C71" s="84" t="n">
        <x:v>0</x:v>
      </x:c>
      <x:c r="D71" s="86" t="n">
        <x:v>5.5</x:v>
      </x:c>
      <x:c r="E71" s="86" t="n">
        <x:v>13.9</x:v>
      </x:c>
      <x:c r="F71" s="84" t="n">
        <x:v>0.16399999999999998</x:v>
      </x:c>
      <x:c r="G71" s="84" t="n">
        <x:v>-0.02</x:v>
      </x:c>
      <x:c r="H71" s="85" t="n">
        <x:v>5600000</x:v>
      </x:c>
      <x:c r="I71" s="84" t="n">
        <x:v>0.099</x:v>
      </x:c>
      <x:c r="J71" s="86" t="n">
        <x:v>4.9</x:v>
      </x:c>
      <x:c r="K71" s="86" t="n">
        <x:v>81.8</x:v>
      </x:c>
      <x:c r="L71" s="84" t="n">
        <x:v>0.679</x:v>
      </x:c>
      <x:c r="M71" s="84" t="n">
        <x:v>0.76</x:v>
      </x:c>
      <x:c r="N71" s="84" t="n">
        <x:v>0.10800000000000001</x:v>
      </x:c>
      <x:c r="O71" s="84" t="n">
        <x:v>0.332</x:v>
      </x:c>
      <x:c r="P71" s="84" t="n">
        <x:v>-0.027000000000000003</x:v>
      </x:c>
      <x:c r="Q71" s="84" t="n">
        <x:v>0.21100000000000002</x:v>
      </x:c>
      <x:c r="R71" s="84" t="n">
        <x:v>0.033</x:v>
      </x:c>
      <x:c r="S71"/>
      <x:c r="T71"/>
    </x:row>
    <x:row r="72">
      <x:c r="A72" s="70" t="str">
        <x:v>38115</x:v>
      </x:c>
      <x:c r="B72" s="83" t="n">
        <x:v>46142.75</x:v>
      </x:c>
      <x:c r="C72" s="84" t="n">
        <x:v>0.701</x:v>
      </x:c>
      <x:c r="D72" s="86" t="n">
        <x:v>5.6</x:v>
      </x:c>
      <x:c r="E72" s="86" t="n">
        <x:v>12.7</x:v>
      </x:c>
      <x:c r="F72" s="84" t="n">
        <x:v>0.205</x:v>
      </x:c>
      <x:c r="G72" s="84" t="n">
        <x:v>0.032</x:v>
      </x:c>
      <x:c r="H72" s="85" t="n">
        <x:v>3700000</x:v>
      </x:c>
      <x:c r="I72" s="84" t="n">
        <x:v>-0.124</x:v>
      </x:c>
      <x:c r="J72" s="86" t="n">
        <x:v>-25.7</x:v>
      </x:c>
      <x:c r="K72" s="86" t="n">
        <x:v>61.4</x:v>
      </x:c>
      <x:c r="L72" s="84" t="n">
        <x:v>0.5379999999999999</x:v>
      </x:c>
      <x:c r="M72" s="84" t="n">
        <x:v>0.59</x:v>
      </x:c>
      <x:c r="N72" s="84" t="n">
        <x:v>0.11900000000000001</x:v>
      </x:c>
      <x:c r="O72" s="84" t="n">
        <x:v>0.396</x:v>
      </x:c>
      <x:c r="P72" s="84" t="n">
        <x:v>0.019</x:v>
      </x:c>
      <x:c r="Q72" s="84" t="n">
        <x:v>0.121</x:v>
      </x:c>
      <x:c r="R72" s="84" t="n">
        <x:v>-0.043</x:v>
      </x:c>
      <x:c r="S72"/>
      <x:c r="T72"/>
    </x:row>
    <x:row r="73">
      <x:c r="A73" s="70" t="str">
        <x:v>38142</x:v>
      </x:c>
      <x:c r="B73" s="83" t="n">
        <x:v>46142.75</x:v>
      </x:c>
      <x:c r="C73" s="84" t="n">
        <x:v>0.10300000000000001</x:v>
      </x:c>
      <x:c r="D73" s="86" t="n">
        <x:v>5.5</x:v>
      </x:c>
      <x:c r="E73" s="86" t="n">
        <x:v>13.1</x:v>
      </x:c>
      <x:c r="F73" s="84" t="n">
        <x:v>0.17600000000000002</x:v>
      </x:c>
      <x:c r="G73" s="84" t="n">
        <x:v>0.011000000000000001</x:v>
      </x:c>
      <x:c r="H73" s="85" t="n">
        <x:v>5200000</x:v>
      </x:c>
      <x:c r="I73" s="84" t="n">
        <x:v>-0.10800000000000001</x:v>
      </x:c>
      <x:c r="J73" s="86" t="n">
        <x:v>-18.4</x:v>
      </x:c>
      <x:c r="K73" s="86" t="n">
        <x:v>67.3</x:v>
      </x:c>
      <x:c r="L73" s="84" t="n">
        <x:v>0.495</x:v>
      </x:c>
      <x:c r="M73" s="84" t="n">
        <x:v>0.57</x:v>
      </x:c>
      <x:c r="N73" s="84" t="n">
        <x:v>0.136</x:v>
      </x:c>
      <x:c r="O73" s="84" t="n">
        <x:v>0.35600000000000004</x:v>
      </x:c>
      <x:c r="P73" s="84" t="n">
        <x:v>-0.01</x:v>
      </x:c>
      <x:c r="Q73" s="84" t="n">
        <x:v>0.203</x:v>
      </x:c>
      <x:c r="R73" s="84" t="n">
        <x:v>-0.008</x:v>
      </x:c>
      <x:c r="S73"/>
      <x:c r="T73"/>
    </x:row>
    <x:row r="74">
      <x:c r="A74" s="70"/>
    </x:row>
    <x:row r="75">
      <x:c r="A75" s="70"/>
    </x:row>
    <x:row r="76">
      <x:c r="A76" s="70"/>
    </x:row>
    <x:row r="77">
      <x:c r="A77" s="70"/>
    </x:row>
    <x:row r="78">
      <x:c r="A78" s="70"/>
    </x:row>
    <x:row r="79">
      <x:c r="A79" s="70"/>
    </x:row>
    <x:row r="80">
      <x:c r="A80" s="70"/>
    </x:row>
    <x:row r="81">
      <x:c r="A81" s="70"/>
    </x:row>
    <x:row r="82">
      <x:c r="A82" s="70"/>
    </x:row>
    <x:row r="83">
      <x:c r="A83" s="70"/>
    </x:row>
    <x:row r="84">
      <x:c r="A84" s="70"/>
    </x:row>
    <x:row r="85">
      <x:c r="A85" s="70"/>
    </x:row>
    <x:row r="86">
      <x:c r="A86" s="70"/>
    </x:row>
    <x:row r="87">
      <x:c r="A87" s="70"/>
    </x:row>
    <x:row r="88">
      <x:c r="A88" s="70"/>
    </x:row>
    <x:row r="89">
      <x:c r="A89" s="70"/>
    </x:row>
    <x:row r="90">
      <x:c r="A90" s="70"/>
    </x:row>
    <x:row r="91">
      <x:c r="A91" s="70"/>
    </x:row>
    <x:row r="92">
      <x:c r="A92" s="70"/>
    </x:row>
    <x:row r="93">
      <x:c r="A93" s="70"/>
    </x:row>
    <x:row r="94">
      <x:c r="A94" s="70"/>
    </x:row>
    <x:row r="95">
      <x:c r="A95" s="70"/>
    </x:row>
    <x:row r="96">
      <x:c r="A96" s="70"/>
    </x:row>
    <x:row r="97">
      <x:c r="A97" s="70"/>
    </x:row>
    <x:row r="98">
      <x:c r="A98" s="70"/>
    </x:row>
    <x:row r="99">
      <x:c r="A99" s="70"/>
    </x:row>
    <x:row r="100">
      <x:c r="A100" s="70"/>
    </x:row>
    <x:row r="101">
      <x:c r="A101" s="70"/>
    </x:row>
    <x:row r="102">
      <x:c r="A102" s="70"/>
    </x:row>
    <x:row r="103">
      <x:c r="A103" s="70"/>
    </x:row>
    <x:row r="104">
      <x:c r="A104" s="70"/>
    </x:row>
    <x:row r="105">
      <x:c r="A105" s="70"/>
    </x:row>
    <x:row r="106">
      <x:c r="A106" s="70"/>
    </x:row>
    <x:row r="107">
      <x:c r="A107" s="70"/>
    </x:row>
    <x:row r="108">
      <x:c r="A108" s="70"/>
    </x:row>
    <x:row r="109">
      <x:c r="A109" s="70"/>
    </x:row>
    <x:row r="110">
      <x:c r="A110" s="70"/>
    </x:row>
    <x:row r="111">
      <x:c r="A111" s="70"/>
    </x:row>
    <x:row r="112">
      <x:c r="A112" s="70"/>
    </x:row>
    <x:row r="113">
      <x:c r="A113" s="70"/>
    </x:row>
    <x:row r="114">
      <x:c r="A114" s="70"/>
    </x:row>
    <x:row r="115">
      <x:c r="A115" s="70"/>
    </x:row>
    <x:row r="116">
      <x:c r="A116" s="70"/>
    </x:row>
    <x:row r="117">
      <x:c r="A117" s="70"/>
    </x:row>
    <x:row r="118">
      <x:c r="A118" s="70"/>
    </x:row>
    <x:row r="119">
      <x:c r="A119" s="70"/>
    </x:row>
    <x:row r="120">
      <x:c r="A120" s="70"/>
    </x:row>
    <x:row r="121">
      <x:c r="A121" s="70"/>
    </x:row>
    <x:row r="122">
      <x:c r="A122" s="70"/>
    </x:row>
    <x:row r="123">
      <x:c r="A123" s="70"/>
    </x:row>
    <x:row r="124">
      <x:c r="A124" s="70"/>
    </x:row>
    <x:row r="125">
      <x:c r="A125" s="70"/>
    </x:row>
    <x:row r="126">
      <x:c r="A126" s="70"/>
    </x:row>
    <x:row r="127">
      <x:c r="A127" s="70"/>
    </x:row>
    <x:row r="128">
      <x:c r="A128" s="70"/>
    </x:row>
    <x:row r="129">
      <x:c r="A129" s="70"/>
    </x:row>
    <x:row r="130">
      <x:c r="A130" s="70"/>
    </x:row>
    <x:row r="131">
      <x:c r="A131" s="70"/>
    </x:row>
    <x:row r="132">
      <x:c r="A132" s="70"/>
    </x:row>
    <x:row r="133">
      <x:c r="A133" s="70"/>
    </x:row>
    <x:row r="134">
      <x:c r="A134" s="70"/>
    </x:row>
    <x:row r="135">
      <x:c r="A135" s="70"/>
    </x:row>
    <x:row r="136">
      <x:c r="A136" s="70"/>
    </x:row>
    <x:row r="137">
      <x:c r="A137" s="70"/>
    </x:row>
    <x:row r="138">
      <x:c r="A138" s="70"/>
    </x:row>
    <x:row r="139">
      <x:c r="A139" s="70"/>
    </x:row>
    <x:row r="140">
      <x:c r="A140" s="70"/>
    </x:row>
    <x:row r="141">
      <x:c r="A141" s="70"/>
    </x:row>
    <x:row r="142">
      <x:c r="A142" s="70"/>
    </x:row>
    <x:row r="143">
      <x:c r="A143" s="70"/>
    </x:row>
    <x:row r="144">
      <x:c r="A144" s="70"/>
    </x:row>
    <x:row r="145">
      <x:c r="A145" s="70"/>
    </x:row>
    <x:row r="146">
      <x:c r="A146" s="70"/>
    </x:row>
    <x:row r="147">
      <x:c r="A147" s="70"/>
    </x:row>
    <x:row r="148">
      <x:c r="A148" s="70"/>
    </x:row>
    <x:row r="149">
      <x:c r="A149" s="70"/>
    </x:row>
    <x:row r="150">
      <x:c r="A150" s="70"/>
    </x:row>
    <x:row r="151">
      <x:c r="A151" s="70"/>
    </x:row>
    <x:row r="152">
      <x:c r="A152" s="70"/>
    </x:row>
    <x:row r="153">
      <x:c r="A153" s="70"/>
    </x:row>
    <x:row r="154">
      <x:c r="A154" s="70"/>
    </x:row>
    <x:row r="155">
      <x:c r="A155" s="70"/>
    </x:row>
    <x:row r="156">
      <x:c r="A156" s="70"/>
    </x:row>
    <x:row r="157">
      <x:c r="A157" s="70"/>
    </x:row>
    <x:row r="158">
      <x:c r="A158" s="70"/>
    </x:row>
    <x:row r="159">
      <x:c r="A159" s="70"/>
    </x:row>
    <x:row r="160">
      <x:c r="A160" s="70"/>
    </x:row>
    <x:row r="161">
      <x:c r="A161" s="70"/>
    </x:row>
    <x:row r="162">
      <x:c r="A162" s="70"/>
    </x:row>
    <x:row r="163">
      <x:c r="A163" s="70"/>
    </x:row>
    <x:row r="164">
      <x:c r="A164" s="70"/>
    </x:row>
    <x:row r="165">
      <x:c r="A165" s="70"/>
    </x:row>
    <x:row r="166">
      <x:c r="A166" s="70"/>
    </x:row>
    <x:row r="167">
      <x:c r="A167" s="70"/>
    </x:row>
    <x:row r="168">
      <x:c r="A168" s="70"/>
    </x:row>
    <x:row r="169">
      <x:c r="A169" s="70"/>
    </x:row>
    <x:row r="170">
      <x:c r="A170" s="70"/>
    </x:row>
    <x:row r="171">
      <x:c r="A171" s="70"/>
    </x:row>
    <x:row r="172">
      <x:c r="A172" s="70"/>
    </x:row>
    <x:row r="173">
      <x:c r="A173" s="70"/>
    </x:row>
    <x:row r="174">
      <x:c r="A174" s="70"/>
    </x:row>
    <x:row r="175">
      <x:c r="A175" s="70"/>
    </x:row>
    <x:row r="176">
      <x:c r="A176" s="70"/>
    </x:row>
    <x:row r="177">
      <x:c r="A177" s="70"/>
    </x:row>
    <x:row r="178">
      <x:c r="A178" s="70"/>
    </x:row>
    <x:row r="179">
      <x:c r="A179" s="70"/>
    </x:row>
    <x:row r="180">
      <x:c r="A180" s="70"/>
    </x:row>
    <x:row r="181">
      <x:c r="A181" s="70"/>
    </x:row>
    <x:row r="182">
      <x:c r="A182" s="70"/>
    </x:row>
    <x:row r="183">
      <x:c r="A183" s="70"/>
    </x:row>
    <x:row r="184">
      <x:c r="A184" s="70"/>
    </x:row>
    <x:row r="185">
      <x:c r="A185" s="70"/>
    </x:row>
    <x:row r="186">
      <x:c r="A186" s="70"/>
    </x:row>
    <x:row r="187">
      <x:c r="A187" s="70"/>
    </x:row>
    <x:row r="188">
      <x:c r="A188" s="70"/>
    </x:row>
    <x:row r="189">
      <x:c r="A189" s="70"/>
    </x:row>
    <x:row r="190">
      <x:c r="A190" s="70"/>
    </x:row>
    <x:row r="191">
      <x:c r="A191" s="70"/>
    </x:row>
    <x:row r="192">
      <x:c r="A192" s="70"/>
    </x:row>
    <x:row r="193">
      <x:c r="A193" s="70"/>
    </x:row>
    <x:row r="194">
      <x:c r="A194" s="70"/>
    </x:row>
    <x:row r="195">
      <x:c r="A195" s="70"/>
    </x:row>
    <x:row r="196">
      <x:c r="A196" s="70"/>
    </x:row>
    <x:row r="197">
      <x:c r="A197" s="70"/>
    </x:row>
    <x:row r="198">
      <x:c r="A198" s="70"/>
    </x:row>
    <x:row r="199">
      <x:c r="A199" s="70"/>
    </x:row>
    <x:row r="200">
      <x:c r="A200" s="70"/>
    </x:row>
    <x:row r="201">
      <x:c r="A201" s="70"/>
    </x:row>
    <x:row r="202">
      <x:c r="A202" s="70"/>
    </x:row>
    <x:row r="203">
      <x:c r="A203" s="70"/>
    </x:row>
    <x:row r="204">
      <x:c r="A204" s="70"/>
    </x:row>
    <x:row r="205">
      <x:c r="A205" s="70"/>
    </x:row>
    <x:row r="206">
      <x:c r="A206" s="70"/>
    </x:row>
    <x:row r="207">
      <x:c r="A207" s="70"/>
    </x:row>
    <x:row r="208">
      <x:c r="A208" s="70"/>
    </x:row>
    <x:row r="209">
      <x:c r="A209" s="70"/>
    </x:row>
    <x:row r="210">
      <x:c r="A210" s="70"/>
    </x:row>
    <x:row r="211">
      <x:c r="A211" s="70"/>
    </x:row>
    <x:row r="212">
      <x:c r="A212" s="70"/>
    </x:row>
    <x:row r="213">
      <x:c r="A213" s="70"/>
    </x:row>
    <x:row r="214">
      <x:c r="A214" s="70"/>
    </x:row>
    <x:row r="215">
      <x:c r="A215" s="70"/>
    </x:row>
    <x:row r="216">
      <x:c r="A216" s="70"/>
    </x:row>
    <x:row r="217">
      <x:c r="A217" s="70"/>
    </x:row>
    <x:row r="218">
      <x:c r="A218" s="70"/>
    </x:row>
    <x:row r="219">
      <x:c r="A219" s="70"/>
    </x:row>
    <x:row r="220">
      <x:c r="A220" s="70"/>
    </x:row>
    <x:row r="221">
      <x:c r="A221" s="70"/>
    </x:row>
    <x:row r="222">
      <x:c r="A222" s="70"/>
    </x:row>
    <x:row r="223">
      <x:c r="A223" s="70"/>
    </x:row>
    <x:row r="224">
      <x:c r="A224" s="70"/>
    </x:row>
    <x:row r="225">
      <x:c r="A225" s="70"/>
    </x:row>
    <x:row r="226">
      <x:c r="A226" s="70"/>
    </x:row>
    <x:row r="227">
      <x:c r="A227" s="70"/>
    </x:row>
    <x:row r="228">
      <x:c r="A228" s="70"/>
    </x:row>
    <x:row r="229">
      <x:c r="A229" s="70"/>
    </x:row>
    <x:row r="230">
      <x:c r="A230" s="70"/>
    </x:row>
    <x:row r="231">
      <x:c r="A231" s="70"/>
    </x:row>
    <x:row r="232">
      <x:c r="A232" s="70"/>
    </x:row>
    <x:row r="233">
      <x:c r="A233" s="70"/>
    </x:row>
    <x:row r="234">
      <x:c r="A234" s="70"/>
    </x:row>
    <x:row r="235">
      <x:c r="A235" s="70"/>
    </x:row>
    <x:row r="236">
      <x:c r="A236" s="70"/>
    </x:row>
    <x:row r="237">
      <x:c r="A237" s="70"/>
    </x:row>
    <x:row r="238">
      <x:c r="A238" s="70"/>
    </x:row>
    <x:row r="239">
      <x:c r="A239" s="70"/>
    </x:row>
    <x:row r="240">
      <x:c r="A240" s="70"/>
    </x:row>
    <x:row r="241">
      <x:c r="A241" s="70"/>
    </x:row>
    <x:row r="242">
      <x:c r="A242" s="70"/>
    </x:row>
    <x:row r="243">
      <x:c r="A243" s="70"/>
    </x:row>
    <x:row r="244">
      <x:c r="A244" s="70"/>
    </x:row>
    <x:row r="245">
      <x:c r="A245" s="70"/>
    </x:row>
    <x:row r="246">
      <x:c r="A246" s="70"/>
    </x:row>
    <x:row r="247">
      <x:c r="A247" s="70"/>
    </x:row>
    <x:row r="248">
      <x:c r="A248" s="70"/>
    </x:row>
    <x:row r="249">
      <x:c r="A249" s="70"/>
    </x:row>
    <x:row r="250">
      <x:c r="A250" s="70"/>
    </x:row>
    <x:row r="251">
      <x:c r="A251" s="70"/>
    </x:row>
    <x:row r="252">
      <x:c r="A252" s="70"/>
    </x:row>
    <x:row r="253">
      <x:c r="A253" s="70"/>
    </x:row>
    <x:row r="254">
      <x:c r="A254" s="70"/>
    </x:row>
    <x:row r="255">
      <x:c r="A255" s="70"/>
    </x:row>
    <x:row r="256">
      <x:c r="A256" s="70"/>
    </x:row>
    <x:row r="257">
      <x:c r="A257" s="70"/>
    </x:row>
    <x:row r="258">
      <x:c r="A258" s="70"/>
    </x:row>
    <x:row r="259">
      <x:c r="A259" s="70"/>
    </x:row>
    <x:row r="260">
      <x:c r="A260" s="70"/>
    </x:row>
    <x:row r="261">
      <x:c r="A261" s="70"/>
    </x:row>
    <x:row r="262">
      <x:c r="A262" s="70"/>
    </x:row>
    <x:row r="263">
      <x:c r="A263" s="70"/>
    </x:row>
    <x:row r="264">
      <x:c r="A264" s="70"/>
    </x:row>
    <x:row r="265">
      <x:c r="A265" s="70"/>
    </x:row>
    <x:row r="266">
      <x:c r="A266" s="70"/>
    </x:row>
    <x:row r="267">
      <x:c r="A267" s="70"/>
    </x:row>
    <x:row r="268">
      <x:c r="A268" s="70"/>
    </x:row>
    <x:row r="269">
      <x:c r="A269" s="70"/>
    </x:row>
    <x:row r="270">
      <x:c r="A270" s="70"/>
    </x:row>
    <x:row r="271">
      <x:c r="A271" s="70"/>
    </x:row>
    <x:row r="272">
      <x:c r="A272" s="70"/>
    </x:row>
    <x:row r="273">
      <x:c r="A273" s="70"/>
    </x:row>
    <x:row r="274">
      <x:c r="A274" s="70"/>
    </x:row>
    <x:row r="275">
      <x:c r="A275" s="70"/>
    </x:row>
    <x:row r="276">
      <x:c r="A276" s="70"/>
    </x:row>
    <x:row r="277">
      <x:c r="A277" s="70"/>
    </x:row>
    <x:row r="278">
      <x:c r="A278" s="70"/>
    </x:row>
    <x:row r="279">
      <x:c r="A279" s="70"/>
    </x:row>
    <x:row r="280">
      <x:c r="A280" s="70"/>
    </x:row>
    <x:row r="281">
      <x:c r="A281" s="70"/>
    </x:row>
    <x:row r="282">
      <x:c r="A282" s="70"/>
    </x:row>
    <x:row r="283">
      <x:c r="A283" s="70"/>
    </x:row>
    <x:row r="284">
      <x:c r="A284" s="70"/>
    </x:row>
    <x:row r="285">
      <x:c r="A285" s="70"/>
    </x:row>
    <x:row r="286">
      <x:c r="A286" s="70"/>
    </x:row>
    <x:row r="287">
      <x:c r="A287" s="70"/>
    </x:row>
    <x:row r="288">
      <x:c r="A288" s="70"/>
    </x:row>
    <x:row r="289">
      <x:c r="A289" s="70"/>
    </x:row>
    <x:row r="290">
      <x:c r="A290" s="70"/>
    </x:row>
    <x:row r="291">
      <x:c r="A291" s="70"/>
    </x:row>
    <x:row r="292">
      <x:c r="A292" s="70"/>
    </x:row>
    <x:row r="293">
      <x:c r="A293" s="70"/>
    </x:row>
    <x:row r="294">
      <x:c r="A294" s="70"/>
    </x:row>
    <x:row r="295">
      <x:c r="A295" s="70"/>
    </x:row>
    <x:row r="296">
      <x:c r="A296" s="70"/>
    </x:row>
    <x:row r="297">
      <x:c r="A297" s="70"/>
    </x:row>
    <x:row r="298">
      <x:c r="A298" s="70"/>
    </x:row>
    <x:row r="299">
      <x:c r="A299" s="70"/>
    </x:row>
    <x:row r="300">
      <x:c r="A300" s="70"/>
    </x:row>
    <x:row r="301">
      <x:c r="A301" s="70"/>
    </x:row>
    <x:row r="302">
      <x:c r="A302" s="70"/>
    </x:row>
    <x:row r="303">
      <x:c r="A303" s="70"/>
    </x:row>
    <x:row r="304">
      <x:c r="A304" s="70"/>
    </x:row>
    <x:row r="305">
      <x:c r="A305" s="70"/>
    </x:row>
    <x:row r="306">
      <x:c r="A306" s="70"/>
    </x:row>
    <x:row r="307">
      <x:c r="A307" s="70"/>
    </x:row>
    <x:row r="308">
      <x:c r="A308" s="70"/>
    </x:row>
    <x:row r="309">
      <x:c r="A309" s="70"/>
    </x:row>
    <x:row r="310">
      <x:c r="A310" s="70"/>
    </x:row>
    <x:row r="311">
      <x:c r="A311" s="70"/>
    </x:row>
    <x:row r="312">
      <x:c r="A312" s="70"/>
    </x:row>
    <x:row r="313">
      <x:c r="A313" s="70"/>
    </x:row>
    <x:row r="314">
      <x:c r="A314" s="70"/>
    </x:row>
    <x:row r="315">
      <x:c r="A315" s="70"/>
    </x:row>
    <x:row r="316">
      <x:c r="A316" s="70"/>
    </x:row>
    <x:row r="317">
      <x:c r="A317" s="70"/>
    </x:row>
    <x:row r="318">
      <x:c r="A318" s="70"/>
    </x:row>
    <x:row r="319">
      <x:c r="A319" s="70"/>
    </x:row>
    <x:row r="320">
      <x:c r="A320" s="70"/>
    </x:row>
    <x:row r="321">
      <x:c r="A321" s="70"/>
    </x:row>
    <x:row r="322">
      <x:c r="A322" s="70"/>
    </x:row>
    <x:row r="323">
      <x:c r="A323" s="70"/>
    </x:row>
    <x:row r="324">
      <x:c r="A324" s="70"/>
    </x:row>
    <x:row r="325">
      <x:c r="A325" s="70"/>
    </x:row>
    <x:row r="326">
      <x:c r="A326" s="70"/>
    </x:row>
    <x:row r="327">
      <x:c r="A327" s="70"/>
    </x:row>
    <x:row r="328">
      <x:c r="A328" s="70"/>
    </x:row>
    <x:row r="329">
      <x:c r="A329" s="70"/>
    </x:row>
    <x:row r="330">
      <x:c r="A330" s="70"/>
    </x:row>
    <x:row r="331">
      <x:c r="A331" s="70"/>
    </x:row>
    <x:row r="332">
      <x:c r="A332" s="70"/>
    </x:row>
    <x:row r="333">
      <x:c r="A333" s="70"/>
    </x:row>
    <x:row r="334">
      <x:c r="A334" s="70"/>
    </x:row>
    <x:row r="335">
      <x:c r="A335" s="70"/>
    </x:row>
    <x:row r="336">
      <x:c r="A336" s="70"/>
    </x:row>
    <x:row r="337">
      <x:c r="A337" s="70"/>
    </x:row>
    <x:row r="338">
      <x:c r="A338" s="70"/>
    </x:row>
    <x:row r="339">
      <x:c r="A339" s="70"/>
    </x:row>
    <x:row r="340">
      <x:c r="A340" s="70"/>
    </x:row>
    <x:row r="341">
      <x:c r="A341" s="70"/>
    </x:row>
    <x:row r="342">
      <x:c r="A342" s="70"/>
    </x:row>
    <x:row r="343">
      <x:c r="A343" s="70"/>
    </x:row>
    <x:row r="344">
      <x:c r="A344" s="70"/>
    </x:row>
    <x:row r="345">
      <x:c r="A345" s="70"/>
    </x:row>
    <x:row r="346">
      <x:c r="A346" s="70"/>
    </x:row>
    <x:row r="347">
      <x:c r="A347" s="70"/>
    </x:row>
    <x:row r="348">
      <x:c r="A348" s="70"/>
    </x:row>
    <x:row r="349">
      <x:c r="A349" s="70"/>
    </x:row>
    <x:row r="350">
      <x:c r="A350" s="70"/>
    </x:row>
    <x:row r="351">
      <x:c r="A351" s="70"/>
    </x:row>
    <x:row r="352">
      <x:c r="A352" s="70"/>
    </x:row>
    <x:row r="353">
      <x:c r="A353" s="70"/>
    </x:row>
    <x:row r="354">
      <x:c r="A354" s="70"/>
    </x:row>
    <x:row r="355">
      <x:c r="A355" s="70"/>
    </x:row>
    <x:row r="356">
      <x:c r="A356" s="70"/>
    </x:row>
    <x:row r="357">
      <x:c r="A357" s="70"/>
    </x:row>
    <x:row r="358">
      <x:c r="A358" s="70"/>
    </x:row>
    <x:row r="359">
      <x:c r="A359" s="70"/>
    </x:row>
    <x:row r="360">
      <x:c r="A360" s="70"/>
    </x:row>
    <x:row r="361">
      <x:c r="A361" s="70"/>
    </x:row>
    <x:row r="362">
      <x:c r="A362" s="70"/>
    </x:row>
    <x:row r="363">
      <x:c r="A363" s="70"/>
    </x:row>
    <x:row r="364">
      <x:c r="A364" s="70"/>
    </x:row>
    <x:row r="365">
      <x:c r="A365" s="70"/>
    </x:row>
    <x:row r="366">
      <x:c r="A366" s="70"/>
    </x:row>
    <x:row r="367">
      <x:c r="A367" s="70"/>
    </x:row>
    <x:row r="368">
      <x:c r="A368" s="70"/>
    </x:row>
    <x:row r="369">
      <x:c r="A369" s="70"/>
    </x:row>
    <x:row r="370">
      <x:c r="A370" s="70"/>
    </x:row>
    <x:row r="371">
      <x:c r="A371" s="70"/>
    </x:row>
    <x:row r="372">
      <x:c r="A372" s="70"/>
    </x:row>
    <x:row r="373">
      <x:c r="A373" s="70"/>
    </x:row>
    <x:row r="374">
      <x:c r="A374" s="70"/>
    </x:row>
    <x:row r="375">
      <x:c r="A375" s="70"/>
    </x:row>
    <x:row r="376">
      <x:c r="A376" s="70"/>
    </x:row>
    <x:row r="377">
      <x:c r="A377" s="70"/>
    </x:row>
    <x:row r="378">
      <x:c r="A378" s="70"/>
    </x:row>
    <x:row r="379">
      <x:c r="A379" s="70"/>
    </x:row>
    <x:row r="380">
      <x:c r="A380" s="70"/>
    </x:row>
    <x:row r="381">
      <x:c r="A381" s="70"/>
    </x:row>
    <x:row r="382">
      <x:c r="A382" s="70"/>
    </x:row>
    <x:row r="383">
      <x:c r="A383" s="70"/>
    </x:row>
    <x:row r="384">
      <x:c r="A384" s="70"/>
    </x:row>
    <x:row r="385">
      <x:c r="A385" s="70"/>
    </x:row>
    <x:row r="386">
      <x:c r="A386" s="70"/>
    </x:row>
    <x:row r="387">
      <x:c r="A387" s="70"/>
    </x:row>
    <x:row r="388">
      <x:c r="A388" s="70"/>
    </x:row>
    <x:row r="389">
      <x:c r="A389" s="70"/>
    </x:row>
    <x:row r="390">
      <x:c r="A390" s="70"/>
    </x:row>
    <x:row r="391">
      <x:c r="A391" s="70"/>
    </x:row>
    <x:row r="392">
      <x:c r="A392" s="70"/>
    </x:row>
    <x:row r="393">
      <x:c r="A393" s="70"/>
    </x:row>
    <x:row r="394">
      <x:c r="A394" s="70"/>
    </x:row>
    <x:row r="395">
      <x:c r="A395" s="70"/>
    </x:row>
    <x:row r="396">
      <x:c r="A396" s="70"/>
    </x:row>
    <x:row r="397">
      <x:c r="A397" s="70"/>
    </x:row>
    <x:row r="398">
      <x:c r="A398" s="70"/>
    </x:row>
    <x:row r="399">
      <x:c r="A399" s="70"/>
    </x:row>
    <x:row r="400">
      <x:c r="A400" s="70"/>
    </x:row>
    <x:row r="401">
      <x:c r="A401" s="70"/>
    </x:row>
    <x:row r="402">
      <x:c r="A402" s="70"/>
    </x:row>
    <x:row r="403">
      <x:c r="A403" s="70"/>
    </x:row>
    <x:row r="404">
      <x:c r="A404" s="70"/>
    </x:row>
    <x:row r="405">
      <x:c r="A405" s="70"/>
    </x:row>
    <x:row r="406">
      <x:c r="A406" s="70"/>
    </x:row>
    <x:row r="407">
      <x:c r="A407" s="70"/>
    </x:row>
    <x:row r="408">
      <x:c r="A408" s="70"/>
    </x:row>
    <x:row r="409">
      <x:c r="A409" s="70"/>
    </x:row>
    <x:row r="410">
      <x:c r="A410" s="70"/>
    </x:row>
    <x:row r="411">
      <x:c r="A411" s="70"/>
    </x:row>
    <x:row r="412">
      <x:c r="A412" s="70"/>
    </x:row>
    <x:row r="413">
      <x:c r="A413" s="70"/>
    </x:row>
    <x:row r="414">
      <x:c r="A414" s="70"/>
    </x:row>
    <x:row r="415">
      <x:c r="A415" s="70"/>
    </x:row>
    <x:row r="416">
      <x:c r="A416" s="70"/>
    </x:row>
    <x:row r="417">
      <x:c r="A417" s="70"/>
    </x:row>
    <x:row r="418">
      <x:c r="A418" s="70"/>
    </x:row>
    <x:row r="419">
      <x:c r="A419" s="70"/>
    </x:row>
    <x:row r="420">
      <x:c r="A420" s="70"/>
    </x:row>
    <x:row r="421">
      <x:c r="A421" s="70"/>
    </x:row>
    <x:row r="422">
      <x:c r="A422" s="70"/>
    </x:row>
    <x:row r="423">
      <x:c r="A423" s="70"/>
    </x:row>
    <x:row r="424">
      <x:c r="A424" s="70"/>
    </x:row>
    <x:row r="425">
      <x:c r="A425" s="70"/>
    </x:row>
    <x:row r="426">
      <x:c r="A426" s="70"/>
    </x:row>
    <x:row r="427">
      <x:c r="A427" s="70"/>
    </x:row>
    <x:row r="428">
      <x:c r="A428" s="70"/>
    </x:row>
    <x:row r="429">
      <x:c r="A429" s="70"/>
    </x:row>
    <x:row r="430">
      <x:c r="A430" s="70"/>
    </x:row>
    <x:row r="431">
      <x:c r="A431" s="70"/>
    </x:row>
    <x:row r="432">
      <x:c r="A432" s="70"/>
    </x:row>
    <x:row r="433">
      <x:c r="A433" s="70"/>
    </x:row>
    <x:row r="434">
      <x:c r="A434" s="70"/>
    </x:row>
    <x:row r="435">
      <x:c r="A435" s="70"/>
    </x:row>
    <x:row r="436">
      <x:c r="A436" s="70"/>
    </x:row>
    <x:row r="437">
      <x:c r="A437" s="70"/>
    </x:row>
    <x:row r="438">
      <x:c r="A438" s="70"/>
    </x:row>
    <x:row r="439">
      <x:c r="A439" s="70"/>
    </x:row>
    <x:row r="440">
      <x:c r="A440" s="70"/>
    </x:row>
    <x:row r="441">
      <x:c r="A441" s="70"/>
    </x:row>
    <x:row r="442">
      <x:c r="A442" s="70"/>
    </x:row>
    <x:row r="443">
      <x:c r="A443" s="70"/>
    </x:row>
    <x:row r="444">
      <x:c r="A444" s="70"/>
    </x:row>
    <x:row r="445">
      <x:c r="A445" s="70"/>
    </x:row>
    <x:row r="446">
      <x:c r="A446" s="70"/>
    </x:row>
    <x:row r="447">
      <x:c r="A447" s="70"/>
    </x:row>
    <x:row r="448">
      <x:c r="A448" s="70"/>
    </x:row>
    <x:row r="449">
      <x:c r="A449" s="70"/>
    </x:row>
    <x:row r="450">
      <x:c r="A450" s="70"/>
    </x:row>
    <x:row r="451">
      <x:c r="A451" s="70"/>
    </x:row>
    <x:row r="452">
      <x:c r="A452" s="70"/>
    </x:row>
    <x:row r="453">
      <x:c r="A453" s="70"/>
    </x:row>
    <x:row r="454">
      <x:c r="A454" s="70"/>
    </x:row>
    <x:row r="455">
      <x:c r="A455" s="70"/>
    </x:row>
    <x:row r="456">
      <x:c r="A456" s="70"/>
    </x:row>
    <x:row r="457">
      <x:c r="A457" s="70"/>
    </x:row>
    <x:row r="458">
      <x:c r="A458" s="70"/>
    </x:row>
    <x:row r="459">
      <x:c r="A459" s="70"/>
    </x:row>
    <x:row r="460">
      <x:c r="A460" s="70"/>
    </x:row>
    <x:row r="461">
      <x:c r="A461" s="70"/>
    </x:row>
    <x:row r="462">
      <x:c r="A462" s="70"/>
    </x:row>
    <x:row r="463">
      <x:c r="A463" s="70"/>
    </x:row>
    <x:row r="464">
      <x:c r="A464" s="70"/>
    </x:row>
    <x:row r="465">
      <x:c r="A465" s="70"/>
    </x:row>
    <x:row r="466">
      <x:c r="A466" s="70"/>
    </x:row>
    <x:row r="467">
      <x:c r="A467" s="70"/>
    </x:row>
    <x:row r="468">
      <x:c r="A468" s="70"/>
    </x:row>
    <x:row r="469">
      <x:c r="A469" s="70"/>
    </x:row>
    <x:row r="470">
      <x:c r="A470" s="70"/>
    </x:row>
    <x:row r="471">
      <x:c r="A471" s="70"/>
    </x:row>
    <x:row r="472">
      <x:c r="A472" s="70"/>
    </x:row>
    <x:row r="473">
      <x:c r="A473" s="70"/>
    </x:row>
    <x:row r="474">
      <x:c r="A474" s="70"/>
    </x:row>
    <x:row r="475">
      <x:c r="A475" s="70"/>
    </x:row>
    <x:row r="476">
      <x:c r="A476" s="70"/>
    </x:row>
    <x:row r="477">
      <x:c r="A477" s="70"/>
    </x:row>
    <x:row r="478">
      <x:c r="A478" s="70"/>
    </x:row>
    <x:row r="479">
      <x:c r="A479" s="70"/>
    </x:row>
    <x:row r="480">
      <x:c r="A480" s="70"/>
    </x:row>
    <x:row r="481">
      <x:c r="A481" s="70"/>
    </x:row>
    <x:row r="482">
      <x:c r="A482" s="70"/>
    </x:row>
    <x:row r="483">
      <x:c r="A483" s="70"/>
    </x:row>
    <x:row r="484">
      <x:c r="A484" s="70"/>
    </x:row>
    <x:row r="485">
      <x:c r="A485" s="70"/>
    </x:row>
    <x:row r="486">
      <x:c r="A486" s="70"/>
    </x:row>
    <x:row r="487">
      <x:c r="A487" s="70"/>
    </x:row>
    <x:row r="488">
      <x:c r="A488" s="70"/>
    </x:row>
    <x:row r="489">
      <x:c r="A489" s="70"/>
    </x:row>
    <x:row r="490">
      <x:c r="A490" s="70"/>
    </x:row>
    <x:row r="491">
      <x:c r="A491" s="70"/>
    </x:row>
    <x:row r="492">
      <x:c r="A492" s="70"/>
    </x:row>
    <x:row r="493">
      <x:c r="A493" s="70"/>
    </x:row>
    <x:row r="494">
      <x:c r="A494" s="70"/>
    </x:row>
    <x:row r="495">
      <x:c r="A495" s="70"/>
    </x:row>
    <x:row r="496">
      <x:c r="A496" s="70"/>
    </x:row>
    <x:row r="497">
      <x:c r="A497" s="70"/>
    </x:row>
    <x:row r="498">
      <x:c r="A498" s="70"/>
    </x:row>
    <x:row r="499">
      <x:c r="A499" s="70"/>
    </x:row>
    <x:row r="500">
      <x:c r="A500" s="70"/>
    </x:row>
    <x:row r="501">
      <x:c r="A501" s="70"/>
    </x:row>
  </x:sheetData>
  <x:pageMargins left="0.7" right="0.7" top="0.75" bottom="0.75" header="0.3" footer="0.3"/>
  <x:tableParts count="1">
    <x:tablePart xmlns:r="http://schemas.openxmlformats.org/officeDocument/2006/relationships" r:id="R2bd964b662db484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8" hidden="0" customWidth="1"/>
    <x:col min="5" max="5" width="23" hidden="0" customWidth="1"/>
    <x:col min="6" max="6" width="23" hidden="0" customWidth="1"/>
  </x:cols>
  <x:sheetData>
    <x:row r="1">
      <x:c r="A1" s="61" t="str">
        <x:v>DM</x:v>
      </x:c>
      <x:c r="B1" s="62" t="str">
        <x:v>Cobertura</x:v>
      </x:c>
      <x:c r="C1" s="62" t="str">
        <x:v>Formato</x:v>
      </x:c>
      <x:c r="D1" s="62" t="str">
        <x:v>Formato Comercial</x:v>
      </x:c>
      <x:c r="E1" s="62" t="str">
        <x:v>Tier</x:v>
      </x:c>
      <x:c r="F1" s="63" t="str">
        <x:v>Activa</x:v>
      </x:c>
    </x:row>
    <x:row r="2">
      <x:c r="A2" s="46" t="str">
        <x:v>Enrique César</x:v>
      </x:c>
      <x:c r="B2" s="47" t="str">
        <x:v>Ciudad De México</x:v>
      </x:c>
      <x:c r="C2" s="47" t="str">
        <x:v>Cafe</x:v>
      </x:c>
      <x:c r="D2" s="47" t="str">
        <x:v>Education</x:v>
      </x:c>
      <x:c r="E2" s="47" t="str">
        <x:v>C1</x:v>
      </x:c>
      <x:c r="F2" s="48" t="str">
        <x:v>No</x:v>
      </x:c>
    </x:row>
    <x:row r="3">
      <x:c r="A3" s="46" t="str">
        <x:v>Nancy Rodríguez</x:v>
      </x:c>
      <x:c r="B3" s="47" t="str">
        <x:v>Estado De México</x:v>
      </x:c>
      <x:c r="C3" s="47" t="str">
        <x:v>Drive_Thru</x:v>
      </x:c>
      <x:c r="D3" s="47" t="str">
        <x:v>Health Care</x:v>
      </x:c>
      <x:c r="E3" s="47" t="str">
        <x:v>C2</x:v>
      </x:c>
      <x:c r="F3" s="48" t="str">
        <x:v>Sí</x:v>
      </x:c>
    </x:row>
    <x:row r="4">
      <x:c r="A4" s="46" t="str">
        <x:v>Vanessa Carreño</x:v>
      </x:c>
      <x:c r="B4" s="47"/>
      <x:c r="C4" s="47" t="str">
        <x:v>Kiosko</x:v>
      </x:c>
      <x:c r="D4" s="47" t="str">
        <x:v>Highway</x:v>
      </x:c>
      <x:c r="E4" s="47"/>
      <x:c r="F4" s="48"/>
    </x:row>
    <x:row r="5">
      <x:c r="A5" s="46" t="str">
        <x:v>Veronica García</x:v>
      </x:c>
      <x:c r="B5" s="47"/>
      <x:c r="C5" s="47"/>
      <x:c r="D5" s="47" t="str">
        <x:v>Hypermarket</x:v>
      </x:c>
      <x:c r="E5" s="47"/>
      <x:c r="F5" s="48"/>
    </x:row>
    <x:row r="6">
      <x:c r="A6" s="46" t="str">
        <x:v>Yazmin Chabela</x:v>
      </x:c>
      <x:c r="B6" s="47"/>
      <x:c r="C6" s="47"/>
      <x:c r="D6" s="47" t="str">
        <x:v>Main Avenues</x:v>
      </x:c>
      <x:c r="E6" s="47"/>
      <x:c r="F6" s="48"/>
    </x:row>
    <x:row r="7">
      <x:c r="A7" s="46" t="str">
        <x:v>Yazmin García</x:v>
      </x:c>
      <x:c r="B7" s="47"/>
      <x:c r="C7" s="47"/>
      <x:c r="D7" s="47" t="str">
        <x:v>Mall</x:v>
      </x:c>
      <x:c r="E7" s="47"/>
      <x:c r="F7" s="48"/>
    </x:row>
    <x:row r="8">
      <x:c r="A8" s="46"/>
      <x:c r="B8" s="47"/>
      <x:c r="C8" s="47"/>
      <x:c r="D8" s="47" t="str">
        <x:v>Neighborhood</x:v>
      </x:c>
      <x:c r="E8" s="47"/>
      <x:c r="F8" s="48"/>
    </x:row>
    <x:row r="9">
      <x:c r="A9" s="46"/>
      <x:c r="B9" s="47"/>
      <x:c r="C9" s="47"/>
      <x:c r="D9" s="47" t="str">
        <x:v>Shopping Center</x:v>
      </x:c>
      <x:c r="E9" s="47"/>
      <x:c r="F9" s="48"/>
    </x:row>
    <x:row r="10">
      <x:c r="A10" s="46"/>
      <x:c r="B10" s="47"/>
      <x:c r="C10" s="47"/>
      <x:c r="D10" s="47" t="str">
        <x:v>Street</x:v>
      </x:c>
      <x:c r="E10" s="47"/>
      <x:c r="F10" s="48"/>
    </x:row>
    <x:row r="11">
      <x:c r="A11" s="49"/>
      <x:c r="B11" s="50"/>
      <x:c r="C11" s="50"/>
      <x:c r="D11" s="50" t="str">
        <x:v>Train &amp; Bus Stations</x:v>
      </x:c>
      <x:c r="E11" s="50"/>
      <x:c r="F11" s="5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88" t="str">
        <x:v>VALIDACIÓN DEL CMS</x:v>
      </x:c>
      <x:c r="B1" s="88"/>
      <x:c r="C1" s="88"/>
      <x:c r="D1" s="88"/>
      <x:c r="E1" s="88"/>
      <x:c r="F1" s="88"/>
    </x:row>
    <x:row r="2">
      <x:c r="A2" s="88"/>
      <x:c r="B2" s="88"/>
      <x:c r="C2" s="88"/>
      <x:c r="D2" s="88"/>
      <x:c r="E2" s="88"/>
      <x:c r="F2" s="88"/>
    </x:row>
    <x:row r="4">
      <x:c r="A4" s="12" t="str">
        <x:v>Control</x:v>
      </x:c>
      <x:c r="B4" s="12" t="str">
        <x:v>Resultado</x:v>
      </x:c>
    </x:row>
    <x:row r="5">
      <x:c r="A5" t="str">
        <x:v>Ubicaciones capturadas</x:v>
      </x:c>
      <x:c r="B5" t="n">
        <x:f>COUNTA('Ubicaciones'!$A$2:$A$501)</x:f>
        <x:v>72</x:v>
      </x:c>
    </x:row>
    <x:row r="6">
      <x:c r="A6" t="str">
        <x:v>Indicadores capturados</x:v>
      </x:c>
      <x:c r="B6" t="n">
        <x:f>COUNTA('Indicadores'!$A$2:$A$501)</x:f>
        <x:v>72</x:v>
      </x:c>
    </x:row>
    <x:row r="7">
      <x:c r="A7" t="str">
        <x:v>CC duplicados en Ubicaciones</x:v>
      </x:c>
      <x:c r="B7" t="n">
        <x:f>COUNTIF(C14:C513,"DUPLICADO")</x:f>
        <x:v>0</x:v>
      </x:c>
    </x:row>
    <x:row r="8">
      <x:c r="A8" t="str">
        <x:v>CC sin fila de Indicadores</x:v>
      </x:c>
      <x:c r="B8" t="n">
        <x:f>COUNTIF(B14:B513,"FALTA")</x:f>
        <x:v>0</x:v>
      </x:c>
    </x:row>
    <x:row r="10">
      <x:c r="A10" s="38" t="str">
        <x:v>La carga en Python vuelve a ejecutar estas validaciones y además comprueba encabezados, coordenadas y relación entre ambas pestañas.</x:v>
      </x:c>
      <x:c r="B10" s="38"/>
      <x:c r="C10" s="38"/>
      <x:c r="D10" s="38"/>
      <x:c r="E10" s="38"/>
      <x:c r="F10" s="38"/>
    </x:row>
    <x:row r="11">
      <x:c r="A11" s="38"/>
      <x:c r="B11" s="38"/>
      <x:c r="C11" s="38"/>
      <x:c r="D11" s="38"/>
      <x:c r="E11" s="38"/>
      <x:c r="F11" s="38"/>
    </x:row>
    <x:row r="13">
      <x:c r="A13" s="12" t="str">
        <x:v>CC Ubicación</x:v>
      </x:c>
      <x:c r="B13" s="12" t="str">
        <x:v>En Indicadores</x:v>
      </x:c>
      <x:c r="C13" s="12" t="str">
        <x:v>Duplicado Ubicación</x:v>
      </x:c>
    </x:row>
    <x:row r="14">
      <x:c r="A14" t="str">
        <x:f>'Ubicaciones'!A2</x:f>
        <x:v>38401</x:v>
      </x:c>
      <x:c r="B14" t="str">
        <x:f>IF(A14="","",IF(COUNTIF('Indicadores'!$A$2:$A$501,A14)=0,"FALTA","OK"))</x:f>
        <x:v>OK</x:v>
      </x:c>
      <x:c r="C14" t="str">
        <x:f>IF(A14="","",IF(COUNTIF('Ubicaciones'!$A$2:$A$501,A14)&gt;1,"DUPLICADO","OK"))</x:f>
        <x:v>OK</x:v>
      </x:c>
    </x:row>
    <x:row r="15">
      <x:c r="A15" t="str">
        <x:f>'Ubicaciones'!A3</x:f>
        <x:v>38604</x:v>
      </x:c>
      <x:c r="B15" t="str">
        <x:f>IF(A15="","",IF(COUNTIF('Indicadores'!$A$2:$A$501,A15)=0,"FALTA","OK"))</x:f>
        <x:v>OK</x:v>
      </x:c>
      <x:c r="C15" t="str">
        <x:f>IF(A15="","",IF(COUNTIF('Ubicaciones'!$A$2:$A$501,A15)&gt;1,"DUPLICADO","OK"))</x:f>
        <x:v>OK</x:v>
      </x:c>
    </x:row>
    <x:row r="16">
      <x:c r="A16" t="str">
        <x:f>'Ubicaciones'!A4</x:f>
        <x:v>43193</x:v>
      </x:c>
      <x:c r="B16" t="str">
        <x:f>IF(A16="","",IF(COUNTIF('Indicadores'!$A$2:$A$501,A16)=0,"FALTA","OK"))</x:f>
        <x:v>OK</x:v>
      </x:c>
      <x:c r="C16" t="str">
        <x:f>IF(A16="","",IF(COUNTIF('Ubicaciones'!$A$2:$A$501,A16)&gt;1,"DUPLICADO","OK"))</x:f>
        <x:v>OK</x:v>
      </x:c>
    </x:row>
    <x:row r="17">
      <x:c r="A17" t="str">
        <x:f>'Ubicaciones'!A5</x:f>
        <x:v>38333</x:v>
      </x:c>
      <x:c r="B17" t="str">
        <x:f>IF(A17="","",IF(COUNTIF('Indicadores'!$A$2:$A$501,A17)=0,"FALTA","OK"))</x:f>
        <x:v>OK</x:v>
      </x:c>
      <x:c r="C17" t="str">
        <x:f>IF(A17="","",IF(COUNTIF('Ubicaciones'!$A$2:$A$501,A17)&gt;1,"DUPLICADO","OK"))</x:f>
        <x:v>OK</x:v>
      </x:c>
    </x:row>
    <x:row r="18">
      <x:c r="A18" t="str">
        <x:f>'Ubicaciones'!A6</x:f>
        <x:v>38368</x:v>
      </x:c>
      <x:c r="B18" t="str">
        <x:f>IF(A18="","",IF(COUNTIF('Indicadores'!$A$2:$A$501,A18)=0,"FALTA","OK"))</x:f>
        <x:v>OK</x:v>
      </x:c>
      <x:c r="C18" t="str">
        <x:f>IF(A18="","",IF(COUNTIF('Ubicaciones'!$A$2:$A$501,A18)&gt;1,"DUPLICADO","OK"))</x:f>
        <x:v>OK</x:v>
      </x:c>
    </x:row>
    <x:row r="19">
      <x:c r="A19" t="str">
        <x:f>'Ubicaciones'!A7</x:f>
        <x:v>38515</x:v>
      </x:c>
      <x:c r="B19" t="str">
        <x:f>IF(A19="","",IF(COUNTIF('Indicadores'!$A$2:$A$501,A19)=0,"FALTA","OK"))</x:f>
        <x:v>OK</x:v>
      </x:c>
      <x:c r="C19" t="str">
        <x:f>IF(A19="","",IF(COUNTIF('Ubicaciones'!$A$2:$A$501,A19)&gt;1,"DUPLICADO","OK"))</x:f>
        <x:v>OK</x:v>
      </x:c>
    </x:row>
    <x:row r="20">
      <x:c r="A20" t="str">
        <x:f>'Ubicaciones'!A8</x:f>
        <x:v>38456</x:v>
      </x:c>
      <x:c r="B20" t="str">
        <x:f>IF(A20="","",IF(COUNTIF('Indicadores'!$A$2:$A$501,A20)=0,"FALTA","OK"))</x:f>
        <x:v>OK</x:v>
      </x:c>
      <x:c r="C20" t="str">
        <x:f>IF(A20="","",IF(COUNTIF('Ubicaciones'!$A$2:$A$501,A20)&gt;1,"DUPLICADO","OK"))</x:f>
        <x:v>OK</x:v>
      </x:c>
    </x:row>
    <x:row r="21">
      <x:c r="A21" t="str">
        <x:f>'Ubicaciones'!A9</x:f>
        <x:v>38339</x:v>
      </x:c>
      <x:c r="B21" t="str">
        <x:f>IF(A21="","",IF(COUNTIF('Indicadores'!$A$2:$A$501,A21)=0,"FALTA","OK"))</x:f>
        <x:v>OK</x:v>
      </x:c>
      <x:c r="C21" t="str">
        <x:f>IF(A21="","",IF(COUNTIF('Ubicaciones'!$A$2:$A$501,A21)&gt;1,"DUPLICADO","OK"))</x:f>
        <x:v>OK</x:v>
      </x:c>
    </x:row>
    <x:row r="22">
      <x:c r="A22" t="str">
        <x:f>'Ubicaciones'!A10</x:f>
        <x:v>38862</x:v>
      </x:c>
      <x:c r="B22" t="str">
        <x:f>IF(A22="","",IF(COUNTIF('Indicadores'!$A$2:$A$501,A22)=0,"FALTA","OK"))</x:f>
        <x:v>OK</x:v>
      </x:c>
      <x:c r="C22" t="str">
        <x:f>IF(A22="","",IF(COUNTIF('Ubicaciones'!$A$2:$A$501,A22)&gt;1,"DUPLICADO","OK"))</x:f>
        <x:v>OK</x:v>
      </x:c>
    </x:row>
    <x:row r="23">
      <x:c r="A23" t="str">
        <x:f>'Ubicaciones'!A11</x:f>
        <x:v>38186</x:v>
      </x:c>
      <x:c r="B23" t="str">
        <x:f>IF(A23="","",IF(COUNTIF('Indicadores'!$A$2:$A$501,A23)=0,"FALTA","OK"))</x:f>
        <x:v>OK</x:v>
      </x:c>
      <x:c r="C23" t="str">
        <x:f>IF(A23="","",IF(COUNTIF('Ubicaciones'!$A$2:$A$501,A23)&gt;1,"DUPLICADO","OK"))</x:f>
        <x:v>OK</x:v>
      </x:c>
    </x:row>
    <x:row r="24">
      <x:c r="A24" t="str">
        <x:f>'Ubicaciones'!A12</x:f>
        <x:v>38894</x:v>
      </x:c>
      <x:c r="B24" t="str">
        <x:f>IF(A24="","",IF(COUNTIF('Indicadores'!$A$2:$A$501,A24)=0,"FALTA","OK"))</x:f>
        <x:v>OK</x:v>
      </x:c>
      <x:c r="C24" t="str">
        <x:f>IF(A24="","",IF(COUNTIF('Ubicaciones'!$A$2:$A$501,A24)&gt;1,"DUPLICADO","OK"))</x:f>
        <x:v>OK</x:v>
      </x:c>
    </x:row>
    <x:row r="25">
      <x:c r="A25" t="str">
        <x:f>'Ubicaciones'!A13</x:f>
        <x:v>38230</x:v>
      </x:c>
      <x:c r="B25" t="str">
        <x:f>IF(A25="","",IF(COUNTIF('Indicadores'!$A$2:$A$501,A25)=0,"FALTA","OK"))</x:f>
        <x:v>OK</x:v>
      </x:c>
      <x:c r="C25" t="str">
        <x:f>IF(A25="","",IF(COUNTIF('Ubicaciones'!$A$2:$A$501,A25)&gt;1,"DUPLICADO","OK"))</x:f>
        <x:v>OK</x:v>
      </x:c>
    </x:row>
    <x:row r="26">
      <x:c r="A26" t="str">
        <x:f>'Ubicaciones'!A14</x:f>
        <x:v>38661</x:v>
      </x:c>
      <x:c r="B26" t="str">
        <x:f>IF(A26="","",IF(COUNTIF('Indicadores'!$A$2:$A$501,A26)=0,"FALTA","OK"))</x:f>
        <x:v>OK</x:v>
      </x:c>
      <x:c r="C26" t="str">
        <x:f>IF(A26="","",IF(COUNTIF('Ubicaciones'!$A$2:$A$501,A26)&gt;1,"DUPLICADO","OK"))</x:f>
        <x:v>OK</x:v>
      </x:c>
    </x:row>
    <x:row r="27">
      <x:c r="A27" t="str">
        <x:f>'Ubicaciones'!A15</x:f>
        <x:v>38674</x:v>
      </x:c>
      <x:c r="B27" t="str">
        <x:f>IF(A27="","",IF(COUNTIF('Indicadores'!$A$2:$A$501,A27)=0,"FALTA","OK"))</x:f>
        <x:v>OK</x:v>
      </x:c>
      <x:c r="C27" t="str">
        <x:f>IF(A27="","",IF(COUNTIF('Ubicaciones'!$A$2:$A$501,A27)&gt;1,"DUPLICADO","OK"))</x:f>
        <x:v>OK</x:v>
      </x:c>
    </x:row>
    <x:row r="28">
      <x:c r="A28" t="str">
        <x:f>'Ubicaciones'!A16</x:f>
        <x:v>38845</x:v>
      </x:c>
      <x:c r="B28" t="str">
        <x:f>IF(A28="","",IF(COUNTIF('Indicadores'!$A$2:$A$501,A28)=0,"FALTA","OK"))</x:f>
        <x:v>OK</x:v>
      </x:c>
      <x:c r="C28" t="str">
        <x:f>IF(A28="","",IF(COUNTIF('Ubicaciones'!$A$2:$A$501,A28)&gt;1,"DUPLICADO","OK"))</x:f>
        <x:v>OK</x:v>
      </x:c>
    </x:row>
    <x:row r="29">
      <x:c r="A29" t="str">
        <x:f>'Ubicaciones'!A17</x:f>
        <x:v>38792</x:v>
      </x:c>
      <x:c r="B29" t="str">
        <x:f>IF(A29="","",IF(COUNTIF('Indicadores'!$A$2:$A$501,A29)=0,"FALTA","OK"))</x:f>
        <x:v>OK</x:v>
      </x:c>
      <x:c r="C29" t="str">
        <x:f>IF(A29="","",IF(COUNTIF('Ubicaciones'!$A$2:$A$501,A29)&gt;1,"DUPLICADO","OK"))</x:f>
        <x:v>OK</x:v>
      </x:c>
    </x:row>
    <x:row r="30">
      <x:c r="A30" t="str">
        <x:f>'Ubicaciones'!A18</x:f>
        <x:v>38136</x:v>
      </x:c>
      <x:c r="B30" t="str">
        <x:f>IF(A30="","",IF(COUNTIF('Indicadores'!$A$2:$A$501,A30)=0,"FALTA","OK"))</x:f>
        <x:v>OK</x:v>
      </x:c>
      <x:c r="C30" t="str">
        <x:f>IF(A30="","",IF(COUNTIF('Ubicaciones'!$A$2:$A$501,A30)&gt;1,"DUPLICADO","OK"))</x:f>
        <x:v>OK</x:v>
      </x:c>
    </x:row>
    <x:row r="31">
      <x:c r="A31" t="str">
        <x:f>'Ubicaciones'!A19</x:f>
        <x:v>38460</x:v>
      </x:c>
      <x:c r="B31" t="str">
        <x:f>IF(A31="","",IF(COUNTIF('Indicadores'!$A$2:$A$501,A31)=0,"FALTA","OK"))</x:f>
        <x:v>OK</x:v>
      </x:c>
      <x:c r="C31" t="str">
        <x:f>IF(A31="","",IF(COUNTIF('Ubicaciones'!$A$2:$A$501,A31)&gt;1,"DUPLICADO","OK"))</x:f>
        <x:v>OK</x:v>
      </x:c>
    </x:row>
    <x:row r="32">
      <x:c r="A32" t="str">
        <x:f>'Ubicaciones'!A20</x:f>
        <x:v>38442</x:v>
      </x:c>
      <x:c r="B32" t="str">
        <x:f>IF(A32="","",IF(COUNTIF('Indicadores'!$A$2:$A$501,A32)=0,"FALTA","OK"))</x:f>
        <x:v>OK</x:v>
      </x:c>
      <x:c r="C32" t="str">
        <x:f>IF(A32="","",IF(COUNTIF('Ubicaciones'!$A$2:$A$501,A32)&gt;1,"DUPLICADO","OK"))</x:f>
        <x:v>OK</x:v>
      </x:c>
    </x:row>
    <x:row r="33">
      <x:c r="A33" t="str">
        <x:f>'Ubicaciones'!A21</x:f>
        <x:v>38606</x:v>
      </x:c>
      <x:c r="B33" t="str">
        <x:f>IF(A33="","",IF(COUNTIF('Indicadores'!$A$2:$A$501,A33)=0,"FALTA","OK"))</x:f>
        <x:v>OK</x:v>
      </x:c>
      <x:c r="C33" t="str">
        <x:f>IF(A33="","",IF(COUNTIF('Ubicaciones'!$A$2:$A$501,A33)&gt;1,"DUPLICADO","OK"))</x:f>
        <x:v>OK</x:v>
      </x:c>
    </x:row>
    <x:row r="34">
      <x:c r="A34" t="str">
        <x:f>'Ubicaciones'!A22</x:f>
        <x:v>38374</x:v>
      </x:c>
      <x:c r="B34" t="str">
        <x:f>IF(A34="","",IF(COUNTIF('Indicadores'!$A$2:$A$501,A34)=0,"FALTA","OK"))</x:f>
        <x:v>OK</x:v>
      </x:c>
      <x:c r="C34" t="str">
        <x:f>IF(A34="","",IF(COUNTIF('Ubicaciones'!$A$2:$A$501,A34)&gt;1,"DUPLICADO","OK"))</x:f>
        <x:v>OK</x:v>
      </x:c>
    </x:row>
    <x:row r="35">
      <x:c r="A35" t="str">
        <x:f>'Ubicaciones'!A23</x:f>
        <x:v>38694</x:v>
      </x:c>
      <x:c r="B35" t="str">
        <x:f>IF(A35="","",IF(COUNTIF('Indicadores'!$A$2:$A$501,A35)=0,"FALTA","OK"))</x:f>
        <x:v>OK</x:v>
      </x:c>
      <x:c r="C35" t="str">
        <x:f>IF(A35="","",IF(COUNTIF('Ubicaciones'!$A$2:$A$501,A35)&gt;1,"DUPLICADO","OK"))</x:f>
        <x:v>OK</x:v>
      </x:c>
    </x:row>
    <x:row r="36">
      <x:c r="A36" t="str">
        <x:f>'Ubicaciones'!A24</x:f>
        <x:v>43194</x:v>
      </x:c>
      <x:c r="B36" t="str">
        <x:f>IF(A36="","",IF(COUNTIF('Indicadores'!$A$2:$A$501,A36)=0,"FALTA","OK"))</x:f>
        <x:v>OK</x:v>
      </x:c>
      <x:c r="C36" t="str">
        <x:f>IF(A36="","",IF(COUNTIF('Ubicaciones'!$A$2:$A$501,A36)&gt;1,"DUPLICADO","OK"))</x:f>
        <x:v>OK</x:v>
      </x:c>
    </x:row>
    <x:row r="37">
      <x:c r="A37" t="str">
        <x:f>'Ubicaciones'!A25</x:f>
        <x:v>38527</x:v>
      </x:c>
      <x:c r="B37" t="str">
        <x:f>IF(A37="","",IF(COUNTIF('Indicadores'!$A$2:$A$501,A37)=0,"FALTA","OK"))</x:f>
        <x:v>OK</x:v>
      </x:c>
      <x:c r="C37" t="str">
        <x:f>IF(A37="","",IF(COUNTIF('Ubicaciones'!$A$2:$A$501,A37)&gt;1,"DUPLICADO","OK"))</x:f>
        <x:v>OK</x:v>
      </x:c>
    </x:row>
    <x:row r="38">
      <x:c r="A38" t="str">
        <x:f>'Ubicaciones'!A26</x:f>
        <x:v>38837</x:v>
      </x:c>
      <x:c r="B38" t="str">
        <x:f>IF(A38="","",IF(COUNTIF('Indicadores'!$A$2:$A$501,A38)=0,"FALTA","OK"))</x:f>
        <x:v>OK</x:v>
      </x:c>
      <x:c r="C38" t="str">
        <x:f>IF(A38="","",IF(COUNTIF('Ubicaciones'!$A$2:$A$501,A38)&gt;1,"DUPLICADO","OK"))</x:f>
        <x:v>OK</x:v>
      </x:c>
    </x:row>
    <x:row r="39">
      <x:c r="A39" t="str">
        <x:f>'Ubicaciones'!A27</x:f>
        <x:v>38205</x:v>
      </x:c>
      <x:c r="B39" t="str">
        <x:f>IF(A39="","",IF(COUNTIF('Indicadores'!$A$2:$A$501,A39)=0,"FALTA","OK"))</x:f>
        <x:v>OK</x:v>
      </x:c>
      <x:c r="C39" t="str">
        <x:f>IF(A39="","",IF(COUNTIF('Ubicaciones'!$A$2:$A$501,A39)&gt;1,"DUPLICADO","OK"))</x:f>
        <x:v>OK</x:v>
      </x:c>
    </x:row>
    <x:row r="40">
      <x:c r="A40" t="str">
        <x:f>'Ubicaciones'!A28</x:f>
        <x:v>38207</x:v>
      </x:c>
      <x:c r="B40" t="str">
        <x:f>IF(A40="","",IF(COUNTIF('Indicadores'!$A$2:$A$501,A40)=0,"FALTA","OK"))</x:f>
        <x:v>OK</x:v>
      </x:c>
      <x:c r="C40" t="str">
        <x:f>IF(A40="","",IF(COUNTIF('Ubicaciones'!$A$2:$A$501,A40)&gt;1,"DUPLICADO","OK"))</x:f>
        <x:v>OK</x:v>
      </x:c>
    </x:row>
    <x:row r="41">
      <x:c r="A41" t="str">
        <x:f>'Ubicaciones'!A29</x:f>
        <x:v>38371</x:v>
      </x:c>
      <x:c r="B41" t="str">
        <x:f>IF(A41="","",IF(COUNTIF('Indicadores'!$A$2:$A$501,A41)=0,"FALTA","OK"))</x:f>
        <x:v>OK</x:v>
      </x:c>
      <x:c r="C41" t="str">
        <x:f>IF(A41="","",IF(COUNTIF('Ubicaciones'!$A$2:$A$501,A41)&gt;1,"DUPLICADO","OK"))</x:f>
        <x:v>OK</x:v>
      </x:c>
    </x:row>
    <x:row r="42">
      <x:c r="A42" t="str">
        <x:f>'Ubicaciones'!A30</x:f>
        <x:v>43111</x:v>
      </x:c>
      <x:c r="B42" t="str">
        <x:f>IF(A42="","",IF(COUNTIF('Indicadores'!$A$2:$A$501,A42)=0,"FALTA","OK"))</x:f>
        <x:v>OK</x:v>
      </x:c>
      <x:c r="C42" t="str">
        <x:f>IF(A42="","",IF(COUNTIF('Ubicaciones'!$A$2:$A$501,A42)&gt;1,"DUPLICADO","OK"))</x:f>
        <x:v>OK</x:v>
      </x:c>
    </x:row>
    <x:row r="43">
      <x:c r="A43" t="str">
        <x:f>'Ubicaciones'!A31</x:f>
        <x:v>43195</x:v>
      </x:c>
      <x:c r="B43" t="str">
        <x:f>IF(A43="","",IF(COUNTIF('Indicadores'!$A$2:$A$501,A43)=0,"FALTA","OK"))</x:f>
        <x:v>OK</x:v>
      </x:c>
      <x:c r="C43" t="str">
        <x:f>IF(A43="","",IF(COUNTIF('Ubicaciones'!$A$2:$A$501,A43)&gt;1,"DUPLICADO","OK"))</x:f>
        <x:v>OK</x:v>
      </x:c>
    </x:row>
    <x:row r="44">
      <x:c r="A44" t="str">
        <x:f>'Ubicaciones'!A32</x:f>
        <x:v>38546</x:v>
      </x:c>
      <x:c r="B44" t="str">
        <x:f>IF(A44="","",IF(COUNTIF('Indicadores'!$A$2:$A$501,A44)=0,"FALTA","OK"))</x:f>
        <x:v>OK</x:v>
      </x:c>
      <x:c r="C44" t="str">
        <x:f>IF(A44="","",IF(COUNTIF('Ubicaciones'!$A$2:$A$501,A44)&gt;1,"DUPLICADO","OK"))</x:f>
        <x:v>OK</x:v>
      </x:c>
    </x:row>
    <x:row r="45">
      <x:c r="A45" t="str">
        <x:f>'Ubicaciones'!A33</x:f>
        <x:v>38677</x:v>
      </x:c>
      <x:c r="B45" t="str">
        <x:f>IF(A45="","",IF(COUNTIF('Indicadores'!$A$2:$A$501,A45)=0,"FALTA","OK"))</x:f>
        <x:v>OK</x:v>
      </x:c>
      <x:c r="C45" t="str">
        <x:f>IF(A45="","",IF(COUNTIF('Ubicaciones'!$A$2:$A$501,A45)&gt;1,"DUPLICADO","OK"))</x:f>
        <x:v>OK</x:v>
      </x:c>
    </x:row>
    <x:row r="46">
      <x:c r="A46" t="str">
        <x:f>'Ubicaciones'!A34</x:f>
        <x:v>38719</x:v>
      </x:c>
      <x:c r="B46" t="str">
        <x:f>IF(A46="","",IF(COUNTIF('Indicadores'!$A$2:$A$501,A46)=0,"FALTA","OK"))</x:f>
        <x:v>OK</x:v>
      </x:c>
      <x:c r="C46" t="str">
        <x:f>IF(A46="","",IF(COUNTIF('Ubicaciones'!$A$2:$A$501,A46)&gt;1,"DUPLICADO","OK"))</x:f>
        <x:v>OK</x:v>
      </x:c>
    </x:row>
    <x:row r="47">
      <x:c r="A47" t="str">
        <x:f>'Ubicaciones'!A35</x:f>
        <x:v>43132</x:v>
      </x:c>
      <x:c r="B47" t="str">
        <x:f>IF(A47="","",IF(COUNTIF('Indicadores'!$A$2:$A$501,A47)=0,"FALTA","OK"))</x:f>
        <x:v>OK</x:v>
      </x:c>
      <x:c r="C47" t="str">
        <x:f>IF(A47="","",IF(COUNTIF('Ubicaciones'!$A$2:$A$501,A47)&gt;1,"DUPLICADO","OK"))</x:f>
        <x:v>OK</x:v>
      </x:c>
    </x:row>
    <x:row r="48">
      <x:c r="A48" t="str">
        <x:f>'Ubicaciones'!A36</x:f>
        <x:v>38411</x:v>
      </x:c>
      <x:c r="B48" t="str">
        <x:f>IF(A48="","",IF(COUNTIF('Indicadores'!$A$2:$A$501,A48)=0,"FALTA","OK"))</x:f>
        <x:v>OK</x:v>
      </x:c>
      <x:c r="C48" t="str">
        <x:f>IF(A48="","",IF(COUNTIF('Ubicaciones'!$A$2:$A$501,A48)&gt;1,"DUPLICADO","OK"))</x:f>
        <x:v>OK</x:v>
      </x:c>
    </x:row>
    <x:row r="49">
      <x:c r="A49" t="str">
        <x:f>'Ubicaciones'!A37</x:f>
        <x:v>38651</x:v>
      </x:c>
      <x:c r="B49" t="str">
        <x:f>IF(A49="","",IF(COUNTIF('Indicadores'!$A$2:$A$501,A49)=0,"FALTA","OK"))</x:f>
        <x:v>OK</x:v>
      </x:c>
      <x:c r="C49" t="str">
        <x:f>IF(A49="","",IF(COUNTIF('Ubicaciones'!$A$2:$A$501,A49)&gt;1,"DUPLICADO","OK"))</x:f>
        <x:v>OK</x:v>
      </x:c>
    </x:row>
    <x:row r="50">
      <x:c r="A50" t="str">
        <x:f>'Ubicaciones'!A38</x:f>
        <x:v>38930</x:v>
      </x:c>
      <x:c r="B50" t="str">
        <x:f>IF(A50="","",IF(COUNTIF('Indicadores'!$A$2:$A$501,A50)=0,"FALTA","OK"))</x:f>
        <x:v>OK</x:v>
      </x:c>
      <x:c r="C50" t="str">
        <x:f>IF(A50="","",IF(COUNTIF('Ubicaciones'!$A$2:$A$501,A50)&gt;1,"DUPLICADO","OK"))</x:f>
        <x:v>OK</x:v>
      </x:c>
    </x:row>
    <x:row r="51">
      <x:c r="A51" t="str">
        <x:f>'Ubicaciones'!A39</x:f>
        <x:v>38529</x:v>
      </x:c>
      <x:c r="B51" t="str">
        <x:f>IF(A51="","",IF(COUNTIF('Indicadores'!$A$2:$A$501,A51)=0,"FALTA","OK"))</x:f>
        <x:v>OK</x:v>
      </x:c>
      <x:c r="C51" t="str">
        <x:f>IF(A51="","",IF(COUNTIF('Ubicaciones'!$A$2:$A$501,A51)&gt;1,"DUPLICADO","OK"))</x:f>
        <x:v>OK</x:v>
      </x:c>
    </x:row>
    <x:row r="52">
      <x:c r="A52" t="str">
        <x:f>'Ubicaciones'!A40</x:f>
        <x:v>38431</x:v>
      </x:c>
      <x:c r="B52" t="str">
        <x:f>IF(A52="","",IF(COUNTIF('Indicadores'!$A$2:$A$501,A52)=0,"FALTA","OK"))</x:f>
        <x:v>OK</x:v>
      </x:c>
      <x:c r="C52" t="str">
        <x:f>IF(A52="","",IF(COUNTIF('Ubicaciones'!$A$2:$A$501,A52)&gt;1,"DUPLICADO","OK"))</x:f>
        <x:v>OK</x:v>
      </x:c>
    </x:row>
    <x:row r="53">
      <x:c r="A53" t="str">
        <x:f>'Ubicaciones'!A41</x:f>
        <x:v>38903</x:v>
      </x:c>
      <x:c r="B53" t="str">
        <x:f>IF(A53="","",IF(COUNTIF('Indicadores'!$A$2:$A$501,A53)=0,"FALTA","OK"))</x:f>
        <x:v>OK</x:v>
      </x:c>
      <x:c r="C53" t="str">
        <x:f>IF(A53="","",IF(COUNTIF('Ubicaciones'!$A$2:$A$501,A53)&gt;1,"DUPLICADO","OK"))</x:f>
        <x:v>OK</x:v>
      </x:c>
    </x:row>
    <x:row r="54">
      <x:c r="A54" t="str">
        <x:f>'Ubicaciones'!A42</x:f>
        <x:v>38995</x:v>
      </x:c>
      <x:c r="B54" t="str">
        <x:f>IF(A54="","",IF(COUNTIF('Indicadores'!$A$2:$A$501,A54)=0,"FALTA","OK"))</x:f>
        <x:v>OK</x:v>
      </x:c>
      <x:c r="C54" t="str">
        <x:f>IF(A54="","",IF(COUNTIF('Ubicaciones'!$A$2:$A$501,A54)&gt;1,"DUPLICADO","OK"))</x:f>
        <x:v>OK</x:v>
      </x:c>
    </x:row>
    <x:row r="55">
      <x:c r="A55" t="str">
        <x:f>'Ubicaciones'!A43</x:f>
        <x:v>38937</x:v>
      </x:c>
      <x:c r="B55" t="str">
        <x:f>IF(A55="","",IF(COUNTIF('Indicadores'!$A$2:$A$501,A55)=0,"FALTA","OK"))</x:f>
        <x:v>OK</x:v>
      </x:c>
      <x:c r="C55" t="str">
        <x:f>IF(A55="","",IF(COUNTIF('Ubicaciones'!$A$2:$A$501,A55)&gt;1,"DUPLICADO","OK"))</x:f>
        <x:v>OK</x:v>
      </x:c>
    </x:row>
    <x:row r="56">
      <x:c r="A56" t="str">
        <x:f>'Ubicaciones'!A44</x:f>
        <x:v>38965</x:v>
      </x:c>
      <x:c r="B56" t="str">
        <x:f>IF(A56="","",IF(COUNTIF('Indicadores'!$A$2:$A$501,A56)=0,"FALTA","OK"))</x:f>
        <x:v>OK</x:v>
      </x:c>
      <x:c r="C56" t="str">
        <x:f>IF(A56="","",IF(COUNTIF('Ubicaciones'!$A$2:$A$501,A56)&gt;1,"DUPLICADO","OK"))</x:f>
        <x:v>OK</x:v>
      </x:c>
    </x:row>
    <x:row r="57">
      <x:c r="A57" t="str">
        <x:f>'Ubicaciones'!A45</x:f>
        <x:v>38924</x:v>
      </x:c>
      <x:c r="B57" t="str">
        <x:f>IF(A57="","",IF(COUNTIF('Indicadores'!$A$2:$A$501,A57)=0,"FALTA","OK"))</x:f>
        <x:v>OK</x:v>
      </x:c>
      <x:c r="C57" t="str">
        <x:f>IF(A57="","",IF(COUNTIF('Ubicaciones'!$A$2:$A$501,A57)&gt;1,"DUPLICADO","OK"))</x:f>
        <x:v>OK</x:v>
      </x:c>
    </x:row>
    <x:row r="58">
      <x:c r="A58" t="str">
        <x:f>'Ubicaciones'!A46</x:f>
        <x:v>38811</x:v>
      </x:c>
      <x:c r="B58" t="str">
        <x:f>IF(A58="","",IF(COUNTIF('Indicadores'!$A$2:$A$501,A58)=0,"FALTA","OK"))</x:f>
        <x:v>OK</x:v>
      </x:c>
      <x:c r="C58" t="str">
        <x:f>IF(A58="","",IF(COUNTIF('Ubicaciones'!$A$2:$A$501,A58)&gt;1,"DUPLICADO","OK"))</x:f>
        <x:v>OK</x:v>
      </x:c>
    </x:row>
    <x:row r="59">
      <x:c r="A59" t="str">
        <x:f>'Ubicaciones'!A47</x:f>
        <x:v>38992</x:v>
      </x:c>
      <x:c r="B59" t="str">
        <x:f>IF(A59="","",IF(COUNTIF('Indicadores'!$A$2:$A$501,A59)=0,"FALTA","OK"))</x:f>
        <x:v>OK</x:v>
      </x:c>
      <x:c r="C59" t="str">
        <x:f>IF(A59="","",IF(COUNTIF('Ubicaciones'!$A$2:$A$501,A59)&gt;1,"DUPLICADO","OK"))</x:f>
        <x:v>OK</x:v>
      </x:c>
    </x:row>
    <x:row r="60">
      <x:c r="A60" t="str">
        <x:f>'Ubicaciones'!A48</x:f>
        <x:v>38695</x:v>
      </x:c>
      <x:c r="B60" t="str">
        <x:f>IF(A60="","",IF(COUNTIF('Indicadores'!$A$2:$A$501,A60)=0,"FALTA","OK"))</x:f>
        <x:v>OK</x:v>
      </x:c>
      <x:c r="C60" t="str">
        <x:f>IF(A60="","",IF(COUNTIF('Ubicaciones'!$A$2:$A$501,A60)&gt;1,"DUPLICADO","OK"))</x:f>
        <x:v>OK</x:v>
      </x:c>
    </x:row>
    <x:row r="61">
      <x:c r="A61" t="str">
        <x:f>'Ubicaciones'!A49</x:f>
        <x:v>38197</x:v>
      </x:c>
      <x:c r="B61" t="str">
        <x:f>IF(A61="","",IF(COUNTIF('Indicadores'!$A$2:$A$501,A61)=0,"FALTA","OK"))</x:f>
        <x:v>OK</x:v>
      </x:c>
      <x:c r="C61" t="str">
        <x:f>IF(A61="","",IF(COUNTIF('Ubicaciones'!$A$2:$A$501,A61)&gt;1,"DUPLICADO","OK"))</x:f>
        <x:v>OK</x:v>
      </x:c>
    </x:row>
    <x:row r="62">
      <x:c r="A62" t="str">
        <x:f>'Ubicaciones'!A50</x:f>
        <x:v>38458</x:v>
      </x:c>
      <x:c r="B62" t="str">
        <x:f>IF(A62="","",IF(COUNTIF('Indicadores'!$A$2:$A$501,A62)=0,"FALTA","OK"))</x:f>
        <x:v>OK</x:v>
      </x:c>
      <x:c r="C62" t="str">
        <x:f>IF(A62="","",IF(COUNTIF('Ubicaciones'!$A$2:$A$501,A62)&gt;1,"DUPLICADO","OK"))</x:f>
        <x:v>OK</x:v>
      </x:c>
    </x:row>
    <x:row r="63">
      <x:c r="A63" t="str">
        <x:f>'Ubicaciones'!A51</x:f>
        <x:v>38770</x:v>
      </x:c>
      <x:c r="B63" t="str">
        <x:f>IF(A63="","",IF(COUNTIF('Indicadores'!$A$2:$A$501,A63)=0,"FALTA","OK"))</x:f>
        <x:v>OK</x:v>
      </x:c>
      <x:c r="C63" t="str">
        <x:f>IF(A63="","",IF(COUNTIF('Ubicaciones'!$A$2:$A$501,A63)&gt;1,"DUPLICADO","OK"))</x:f>
        <x:v>OK</x:v>
      </x:c>
    </x:row>
    <x:row r="64">
      <x:c r="A64" t="str">
        <x:f>'Ubicaciones'!A52</x:f>
        <x:v>38561</x:v>
      </x:c>
      <x:c r="B64" t="str">
        <x:f>IF(A64="","",IF(COUNTIF('Indicadores'!$A$2:$A$501,A64)=0,"FALTA","OK"))</x:f>
        <x:v>OK</x:v>
      </x:c>
      <x:c r="C64" t="str">
        <x:f>IF(A64="","",IF(COUNTIF('Ubicaciones'!$A$2:$A$501,A64)&gt;1,"DUPLICADO","OK"))</x:f>
        <x:v>OK</x:v>
      </x:c>
    </x:row>
    <x:row r="65">
      <x:c r="A65" t="str">
        <x:f>'Ubicaciones'!A53</x:f>
        <x:v>38590</x:v>
      </x:c>
      <x:c r="B65" t="str">
        <x:f>IF(A65="","",IF(COUNTIF('Indicadores'!$A$2:$A$501,A65)=0,"FALTA","OK"))</x:f>
        <x:v>OK</x:v>
      </x:c>
      <x:c r="C65" t="str">
        <x:f>IF(A65="","",IF(COUNTIF('Ubicaciones'!$A$2:$A$501,A65)&gt;1,"DUPLICADO","OK"))</x:f>
        <x:v>OK</x:v>
      </x:c>
    </x:row>
    <x:row r="66">
      <x:c r="A66" t="str">
        <x:f>'Ubicaciones'!A54</x:f>
        <x:v>38176</x:v>
      </x:c>
      <x:c r="B66" t="str">
        <x:f>IF(A66="","",IF(COUNTIF('Indicadores'!$A$2:$A$501,A66)=0,"FALTA","OK"))</x:f>
        <x:v>OK</x:v>
      </x:c>
      <x:c r="C66" t="str">
        <x:f>IF(A66="","",IF(COUNTIF('Ubicaciones'!$A$2:$A$501,A66)&gt;1,"DUPLICADO","OK"))</x:f>
        <x:v>OK</x:v>
      </x:c>
    </x:row>
    <x:row r="67">
      <x:c r="A67" t="str">
        <x:f>'Ubicaciones'!A55</x:f>
        <x:v>38427</x:v>
      </x:c>
      <x:c r="B67" t="str">
        <x:f>IF(A67="","",IF(COUNTIF('Indicadores'!$A$2:$A$501,A67)=0,"FALTA","OK"))</x:f>
        <x:v>OK</x:v>
      </x:c>
      <x:c r="C67" t="str">
        <x:f>IF(A67="","",IF(COUNTIF('Ubicaciones'!$A$2:$A$501,A67)&gt;1,"DUPLICADO","OK"))</x:f>
        <x:v>OK</x:v>
      </x:c>
    </x:row>
    <x:row r="68">
      <x:c r="A68" t="str">
        <x:f>'Ubicaciones'!A56</x:f>
        <x:v>38859</x:v>
      </x:c>
      <x:c r="B68" t="str">
        <x:f>IF(A68="","",IF(COUNTIF('Indicadores'!$A$2:$A$501,A68)=0,"FALTA","OK"))</x:f>
        <x:v>OK</x:v>
      </x:c>
      <x:c r="C68" t="str">
        <x:f>IF(A68="","",IF(COUNTIF('Ubicaciones'!$A$2:$A$501,A68)&gt;1,"DUPLICADO","OK"))</x:f>
        <x:v>OK</x:v>
      </x:c>
    </x:row>
    <x:row r="69">
      <x:c r="A69" t="str">
        <x:f>'Ubicaciones'!A57</x:f>
        <x:v>43152</x:v>
      </x:c>
      <x:c r="B69" t="str">
        <x:f>IF(A69="","",IF(COUNTIF('Indicadores'!$A$2:$A$501,A69)=0,"FALTA","OK"))</x:f>
        <x:v>OK</x:v>
      </x:c>
      <x:c r="C69" t="str">
        <x:f>IF(A69="","",IF(COUNTIF('Ubicaciones'!$A$2:$A$501,A69)&gt;1,"DUPLICADO","OK"))</x:f>
        <x:v>OK</x:v>
      </x:c>
    </x:row>
    <x:row r="70">
      <x:c r="A70" t="str">
        <x:f>'Ubicaciones'!A58</x:f>
        <x:v>38117</x:v>
      </x:c>
      <x:c r="B70" t="str">
        <x:f>IF(A70="","",IF(COUNTIF('Indicadores'!$A$2:$A$501,A70)=0,"FALTA","OK"))</x:f>
        <x:v>OK</x:v>
      </x:c>
      <x:c r="C70" t="str">
        <x:f>IF(A70="","",IF(COUNTIF('Ubicaciones'!$A$2:$A$501,A70)&gt;1,"DUPLICADO","OK"))</x:f>
        <x:v>OK</x:v>
      </x:c>
    </x:row>
    <x:row r="71">
      <x:c r="A71" t="str">
        <x:f>'Ubicaciones'!A59</x:f>
        <x:v>38475</x:v>
      </x:c>
      <x:c r="B71" t="str">
        <x:f>IF(A71="","",IF(COUNTIF('Indicadores'!$A$2:$A$501,A71)=0,"FALTA","OK"))</x:f>
        <x:v>OK</x:v>
      </x:c>
      <x:c r="C71" t="str">
        <x:f>IF(A71="","",IF(COUNTIF('Ubicaciones'!$A$2:$A$501,A71)&gt;1,"DUPLICADO","OK"))</x:f>
        <x:v>OK</x:v>
      </x:c>
    </x:row>
    <x:row r="72">
      <x:c r="A72" t="str">
        <x:f>'Ubicaciones'!A60</x:f>
        <x:v>38656</x:v>
      </x:c>
      <x:c r="B72" t="str">
        <x:f>IF(A72="","",IF(COUNTIF('Indicadores'!$A$2:$A$501,A72)=0,"FALTA","OK"))</x:f>
        <x:v>OK</x:v>
      </x:c>
      <x:c r="C72" t="str">
        <x:f>IF(A72="","",IF(COUNTIF('Ubicaciones'!$A$2:$A$501,A72)&gt;1,"DUPLICADO","OK"))</x:f>
        <x:v>OK</x:v>
      </x:c>
    </x:row>
    <x:row r="73">
      <x:c r="A73" t="str">
        <x:f>'Ubicaciones'!A61</x:f>
        <x:v>43043</x:v>
      </x:c>
      <x:c r="B73" t="str">
        <x:f>IF(A73="","",IF(COUNTIF('Indicadores'!$A$2:$A$501,A73)=0,"FALTA","OK"))</x:f>
        <x:v>OK</x:v>
      </x:c>
      <x:c r="C73" t="str">
        <x:f>IF(A73="","",IF(COUNTIF('Ubicaciones'!$A$2:$A$501,A73)&gt;1,"DUPLICADO","OK"))</x:f>
        <x:v>OK</x:v>
      </x:c>
    </x:row>
    <x:row r="74">
      <x:c r="A74" t="str">
        <x:f>'Ubicaciones'!A62</x:f>
        <x:v>38149</x:v>
      </x:c>
      <x:c r="B74" t="str">
        <x:f>IF(A74="","",IF(COUNTIF('Indicadores'!$A$2:$A$501,A74)=0,"FALTA","OK"))</x:f>
        <x:v>OK</x:v>
      </x:c>
      <x:c r="C74" t="str">
        <x:f>IF(A74="","",IF(COUNTIF('Ubicaciones'!$A$2:$A$501,A74)&gt;1,"DUPLICADO","OK"))</x:f>
        <x:v>OK</x:v>
      </x:c>
    </x:row>
    <x:row r="75">
      <x:c r="A75" t="str">
        <x:f>'Ubicaciones'!A63</x:f>
        <x:v>38394</x:v>
      </x:c>
      <x:c r="B75" t="str">
        <x:f>IF(A75="","",IF(COUNTIF('Indicadores'!$A$2:$A$501,A75)=0,"FALTA","OK"))</x:f>
        <x:v>OK</x:v>
      </x:c>
      <x:c r="C75" t="str">
        <x:f>IF(A75="","",IF(COUNTIF('Ubicaciones'!$A$2:$A$501,A75)&gt;1,"DUPLICADO","OK"))</x:f>
        <x:v>OK</x:v>
      </x:c>
    </x:row>
    <x:row r="76">
      <x:c r="A76" t="str">
        <x:f>'Ubicaciones'!A64</x:f>
        <x:v>38535</x:v>
      </x:c>
      <x:c r="B76" t="str">
        <x:f>IF(A76="","",IF(COUNTIF('Indicadores'!$A$2:$A$501,A76)=0,"FALTA","OK"))</x:f>
        <x:v>OK</x:v>
      </x:c>
      <x:c r="C76" t="str">
        <x:f>IF(A76="","",IF(COUNTIF('Ubicaciones'!$A$2:$A$501,A76)&gt;1,"DUPLICADO","OK"))</x:f>
        <x:v>OK</x:v>
      </x:c>
    </x:row>
    <x:row r="77">
      <x:c r="A77" t="str">
        <x:f>'Ubicaciones'!A65</x:f>
        <x:v>38507</x:v>
      </x:c>
      <x:c r="B77" t="str">
        <x:f>IF(A77="","",IF(COUNTIF('Indicadores'!$A$2:$A$501,A77)=0,"FALTA","OK"))</x:f>
        <x:v>OK</x:v>
      </x:c>
      <x:c r="C77" t="str">
        <x:f>IF(A77="","",IF(COUNTIF('Ubicaciones'!$A$2:$A$501,A77)&gt;1,"DUPLICADO","OK"))</x:f>
        <x:v>OK</x:v>
      </x:c>
    </x:row>
    <x:row r="78">
      <x:c r="A78" t="str">
        <x:f>'Ubicaciones'!A66</x:f>
        <x:v>38363</x:v>
      </x:c>
      <x:c r="B78" t="str">
        <x:f>IF(A78="","",IF(COUNTIF('Indicadores'!$A$2:$A$501,A78)=0,"FALTA","OK"))</x:f>
        <x:v>OK</x:v>
      </x:c>
      <x:c r="C78" t="str">
        <x:f>IF(A78="","",IF(COUNTIF('Ubicaciones'!$A$2:$A$501,A78)&gt;1,"DUPLICADO","OK"))</x:f>
        <x:v>OK</x:v>
      </x:c>
    </x:row>
    <x:row r="79">
      <x:c r="A79" t="str">
        <x:f>'Ubicaciones'!A67</x:f>
        <x:v>38119</x:v>
      </x:c>
      <x:c r="B79" t="str">
        <x:f>IF(A79="","",IF(COUNTIF('Indicadores'!$A$2:$A$501,A79)=0,"FALTA","OK"))</x:f>
        <x:v>OK</x:v>
      </x:c>
      <x:c r="C79" t="str">
        <x:f>IF(A79="","",IF(COUNTIF('Ubicaciones'!$A$2:$A$501,A79)&gt;1,"DUPLICADO","OK"))</x:f>
        <x:v>OK</x:v>
      </x:c>
    </x:row>
    <x:row r="80">
      <x:c r="A80" t="str">
        <x:f>'Ubicaciones'!A68</x:f>
        <x:v>38270</x:v>
      </x:c>
      <x:c r="B80" t="str">
        <x:f>IF(A80="","",IF(COUNTIF('Indicadores'!$A$2:$A$501,A80)=0,"FALTA","OK"))</x:f>
        <x:v>OK</x:v>
      </x:c>
      <x:c r="C80" t="str">
        <x:f>IF(A80="","",IF(COUNTIF('Ubicaciones'!$A$2:$A$501,A80)&gt;1,"DUPLICADO","OK"))</x:f>
        <x:v>OK</x:v>
      </x:c>
    </x:row>
    <x:row r="81">
      <x:c r="A81" t="str">
        <x:f>'Ubicaciones'!A69</x:f>
        <x:v>38266</x:v>
      </x:c>
      <x:c r="B81" t="str">
        <x:f>IF(A81="","",IF(COUNTIF('Indicadores'!$A$2:$A$501,A81)=0,"FALTA","OK"))</x:f>
        <x:v>OK</x:v>
      </x:c>
      <x:c r="C81" t="str">
        <x:f>IF(A81="","",IF(COUNTIF('Ubicaciones'!$A$2:$A$501,A81)&gt;1,"DUPLICADO","OK"))</x:f>
        <x:v>OK</x:v>
      </x:c>
    </x:row>
    <x:row r="82">
      <x:c r="A82" t="str">
        <x:f>'Ubicaciones'!A70</x:f>
        <x:v>38925</x:v>
      </x:c>
      <x:c r="B82" t="str">
        <x:f>IF(A82="","",IF(COUNTIF('Indicadores'!$A$2:$A$501,A82)=0,"FALTA","OK"))</x:f>
        <x:v>OK</x:v>
      </x:c>
      <x:c r="C82" t="str">
        <x:f>IF(A82="","",IF(COUNTIF('Ubicaciones'!$A$2:$A$501,A82)&gt;1,"DUPLICADO","OK"))</x:f>
        <x:v>OK</x:v>
      </x:c>
    </x:row>
    <x:row r="83">
      <x:c r="A83" t="str">
        <x:f>'Ubicaciones'!A71</x:f>
        <x:v>43130</x:v>
      </x:c>
      <x:c r="B83" t="str">
        <x:f>IF(A83="","",IF(COUNTIF('Indicadores'!$A$2:$A$501,A83)=0,"FALTA","OK"))</x:f>
        <x:v>OK</x:v>
      </x:c>
      <x:c r="C83" t="str">
        <x:f>IF(A83="","",IF(COUNTIF('Ubicaciones'!$A$2:$A$501,A83)&gt;1,"DUPLICADO","OK"))</x:f>
        <x:v>OK</x:v>
      </x:c>
    </x:row>
    <x:row r="84">
      <x:c r="A84" t="str">
        <x:f>'Ubicaciones'!A72</x:f>
        <x:v>38115</x:v>
      </x:c>
      <x:c r="B84" t="str">
        <x:f>IF(A84="","",IF(COUNTIF('Indicadores'!$A$2:$A$501,A84)=0,"FALTA","OK"))</x:f>
        <x:v>OK</x:v>
      </x:c>
      <x:c r="C84" t="str">
        <x:f>IF(A84="","",IF(COUNTIF('Ubicaciones'!$A$2:$A$501,A84)&gt;1,"DUPLICADO","OK"))</x:f>
        <x:v>OK</x:v>
      </x:c>
    </x:row>
    <x:row r="85">
      <x:c r="A85" t="str">
        <x:f>'Ubicaciones'!A73</x:f>
        <x:v>38142</x:v>
      </x:c>
      <x:c r="B85" t="str">
        <x:f>IF(A85="","",IF(COUNTIF('Indicadores'!$A$2:$A$501,A85)=0,"FALTA","OK"))</x:f>
        <x:v>OK</x:v>
      </x:c>
      <x:c r="C85" t="str">
        <x:f>IF(A85="","",IF(COUNTIF('Ubicaciones'!$A$2:$A$501,A85)&gt;1,"DUPLICADO","OK"))</x:f>
        <x:v>OK</x:v>
      </x:c>
    </x:row>
    <x:row r="86">
      <x:c r="A86" t="n">
        <x:f>'Ubicaciones'!A74</x:f>
        <x:v>0</x:v>
      </x:c>
      <x:c r="B86" t="str">
        <x:f>IF(A86="","",IF(COUNTIF('Indicadores'!$A$2:$A$501,A86)=0,"FALTA","OK"))</x:f>
      </x:c>
      <x:c r="C86" t="str">
        <x:f>IF(A86="","",IF(COUNTIF('Ubicaciones'!$A$2:$A$501,A86)&gt;1,"DUPLICADO","OK"))</x:f>
      </x:c>
    </x:row>
    <x:row r="87">
      <x:c r="A87" t="n">
        <x:f>'Ubicaciones'!A75</x:f>
        <x:v>0</x:v>
      </x:c>
      <x:c r="B87" t="str">
        <x:f>IF(A87="","",IF(COUNTIF('Indicadores'!$A$2:$A$501,A87)=0,"FALTA","OK"))</x:f>
      </x:c>
      <x:c r="C87" t="str">
        <x:f>IF(A87="","",IF(COUNTIF('Ubicaciones'!$A$2:$A$501,A87)&gt;1,"DUPLICADO","OK"))</x:f>
      </x:c>
    </x:row>
    <x:row r="88">
      <x:c r="A88" t="n">
        <x:f>'Ubicaciones'!A76</x:f>
        <x:v>0</x:v>
      </x:c>
      <x:c r="B88" t="str">
        <x:f>IF(A88="","",IF(COUNTIF('Indicadores'!$A$2:$A$501,A88)=0,"FALTA","OK"))</x:f>
      </x:c>
      <x:c r="C88" t="str">
        <x:f>IF(A88="","",IF(COUNTIF('Ubicaciones'!$A$2:$A$501,A88)&gt;1,"DUPLICADO","OK"))</x:f>
      </x:c>
    </x:row>
    <x:row r="89">
      <x:c r="A89" t="n">
        <x:f>'Ubicaciones'!A77</x:f>
        <x:v>0</x:v>
      </x:c>
      <x:c r="B89" t="str">
        <x:f>IF(A89="","",IF(COUNTIF('Indicadores'!$A$2:$A$501,A89)=0,"FALTA","OK"))</x:f>
      </x:c>
      <x:c r="C89" t="str">
        <x:f>IF(A89="","",IF(COUNTIF('Ubicaciones'!$A$2:$A$501,A89)&gt;1,"DUPLICADO","OK"))</x:f>
      </x:c>
    </x:row>
    <x:row r="90">
      <x:c r="A90" t="n">
        <x:f>'Ubicaciones'!A78</x:f>
        <x:v>0</x:v>
      </x:c>
      <x:c r="B90" t="str">
        <x:f>IF(A90="","",IF(COUNTIF('Indicadores'!$A$2:$A$501,A90)=0,"FALTA","OK"))</x:f>
      </x:c>
      <x:c r="C90" t="str">
        <x:f>IF(A90="","",IF(COUNTIF('Ubicaciones'!$A$2:$A$501,A90)&gt;1,"DUPLICADO","OK"))</x:f>
      </x:c>
    </x:row>
    <x:row r="91">
      <x:c r="A91" t="n">
        <x:f>'Ubicaciones'!A79</x:f>
        <x:v>0</x:v>
      </x:c>
      <x:c r="B91" t="str">
        <x:f>IF(A91="","",IF(COUNTIF('Indicadores'!$A$2:$A$501,A91)=0,"FALTA","OK"))</x:f>
      </x:c>
      <x:c r="C91" t="str">
        <x:f>IF(A91="","",IF(COUNTIF('Ubicaciones'!$A$2:$A$501,A91)&gt;1,"DUPLICADO","OK"))</x:f>
      </x:c>
    </x:row>
    <x:row r="92">
      <x:c r="A92" t="n">
        <x:f>'Ubicaciones'!A80</x:f>
        <x:v>0</x:v>
      </x:c>
      <x:c r="B92" t="str">
        <x:f>IF(A92="","",IF(COUNTIF('Indicadores'!$A$2:$A$501,A92)=0,"FALTA","OK"))</x:f>
      </x:c>
      <x:c r="C92" t="str">
        <x:f>IF(A92="","",IF(COUNTIF('Ubicaciones'!$A$2:$A$501,A92)&gt;1,"DUPLICADO","OK"))</x:f>
      </x:c>
    </x:row>
    <x:row r="93">
      <x:c r="A93" t="n">
        <x:f>'Ubicaciones'!A81</x:f>
        <x:v>0</x:v>
      </x:c>
      <x:c r="B93" t="str">
        <x:f>IF(A93="","",IF(COUNTIF('Indicadores'!$A$2:$A$501,A93)=0,"FALTA","OK"))</x:f>
      </x:c>
      <x:c r="C93" t="str">
        <x:f>IF(A93="","",IF(COUNTIF('Ubicaciones'!$A$2:$A$501,A93)&gt;1,"DUPLICADO","OK"))</x:f>
      </x:c>
    </x:row>
    <x:row r="94">
      <x:c r="A94" t="n">
        <x:f>'Ubicaciones'!A82</x:f>
        <x:v>0</x:v>
      </x:c>
      <x:c r="B94" t="str">
        <x:f>IF(A94="","",IF(COUNTIF('Indicadores'!$A$2:$A$501,A94)=0,"FALTA","OK"))</x:f>
      </x:c>
      <x:c r="C94" t="str">
        <x:f>IF(A94="","",IF(COUNTIF('Ubicaciones'!$A$2:$A$501,A94)&gt;1,"DUPLICADO","OK"))</x:f>
      </x:c>
    </x:row>
    <x:row r="95">
      <x:c r="A95" t="n">
        <x:f>'Ubicaciones'!A83</x:f>
        <x:v>0</x:v>
      </x:c>
      <x:c r="B95" t="str">
        <x:f>IF(A95="","",IF(COUNTIF('Indicadores'!$A$2:$A$501,A95)=0,"FALTA","OK"))</x:f>
      </x:c>
      <x:c r="C95" t="str">
        <x:f>IF(A95="","",IF(COUNTIF('Ubicaciones'!$A$2:$A$501,A95)&gt;1,"DUPLICADO","OK"))</x:f>
      </x:c>
    </x:row>
    <x:row r="96">
      <x:c r="A96" t="n">
        <x:f>'Ubicaciones'!A84</x:f>
        <x:v>0</x:v>
      </x:c>
      <x:c r="B96" t="str">
        <x:f>IF(A96="","",IF(COUNTIF('Indicadores'!$A$2:$A$501,A96)=0,"FALTA","OK"))</x:f>
      </x:c>
      <x:c r="C96" t="str">
        <x:f>IF(A96="","",IF(COUNTIF('Ubicaciones'!$A$2:$A$501,A96)&gt;1,"DUPLICADO","OK"))</x:f>
      </x:c>
    </x:row>
    <x:row r="97">
      <x:c r="A97" t="n">
        <x:f>'Ubicaciones'!A85</x:f>
        <x:v>0</x:v>
      </x:c>
      <x:c r="B97" t="str">
        <x:f>IF(A97="","",IF(COUNTIF('Indicadores'!$A$2:$A$501,A97)=0,"FALTA","OK"))</x:f>
      </x:c>
      <x:c r="C97" t="str">
        <x:f>IF(A97="","",IF(COUNTIF('Ubicaciones'!$A$2:$A$501,A97)&gt;1,"DUPLICADO","OK"))</x:f>
      </x:c>
    </x:row>
    <x:row r="98">
      <x:c r="A98" t="n">
        <x:f>'Ubicaciones'!A86</x:f>
        <x:v>0</x:v>
      </x:c>
      <x:c r="B98" t="str">
        <x:f>IF(A98="","",IF(COUNTIF('Indicadores'!$A$2:$A$501,A98)=0,"FALTA","OK"))</x:f>
      </x:c>
      <x:c r="C98" t="str">
        <x:f>IF(A98="","",IF(COUNTIF('Ubicaciones'!$A$2:$A$501,A98)&gt;1,"DUPLICADO","OK"))</x:f>
      </x:c>
    </x:row>
    <x:row r="99">
      <x:c r="A99" t="n">
        <x:f>'Ubicaciones'!A87</x:f>
        <x:v>0</x:v>
      </x:c>
      <x:c r="B99" t="str">
        <x:f>IF(A99="","",IF(COUNTIF('Indicadores'!$A$2:$A$501,A99)=0,"FALTA","OK"))</x:f>
      </x:c>
      <x:c r="C99" t="str">
        <x:f>IF(A99="","",IF(COUNTIF('Ubicaciones'!$A$2:$A$501,A99)&gt;1,"DUPLICADO","OK"))</x:f>
      </x:c>
    </x:row>
    <x:row r="100">
      <x:c r="A100" t="n">
        <x:f>'Ubicaciones'!A88</x:f>
        <x:v>0</x:v>
      </x:c>
      <x:c r="B100" t="str">
        <x:f>IF(A100="","",IF(COUNTIF('Indicadores'!$A$2:$A$501,A100)=0,"FALTA","OK"))</x:f>
      </x:c>
      <x:c r="C100" t="str">
        <x:f>IF(A100="","",IF(COUNTIF('Ubicaciones'!$A$2:$A$501,A100)&gt;1,"DUPLICADO","OK"))</x:f>
      </x:c>
    </x:row>
    <x:row r="101">
      <x:c r="A101" t="n">
        <x:f>'Ubicaciones'!A89</x:f>
        <x:v>0</x:v>
      </x:c>
      <x:c r="B101" t="str">
        <x:f>IF(A101="","",IF(COUNTIF('Indicadores'!$A$2:$A$501,A101)=0,"FALTA","OK"))</x:f>
      </x:c>
      <x:c r="C101" t="str">
        <x:f>IF(A101="","",IF(COUNTIF('Ubicaciones'!$A$2:$A$501,A101)&gt;1,"DUPLICADO","OK"))</x:f>
      </x:c>
    </x:row>
    <x:row r="102">
      <x:c r="A102" t="n">
        <x:f>'Ubicaciones'!A90</x:f>
        <x:v>0</x:v>
      </x:c>
      <x:c r="B102" t="str">
        <x:f>IF(A102="","",IF(COUNTIF('Indicadores'!$A$2:$A$501,A102)=0,"FALTA","OK"))</x:f>
      </x:c>
      <x:c r="C102" t="str">
        <x:f>IF(A102="","",IF(COUNTIF('Ubicaciones'!$A$2:$A$501,A102)&gt;1,"DUPLICADO","OK"))</x:f>
      </x:c>
    </x:row>
    <x:row r="103">
      <x:c r="A103" t="n">
        <x:f>'Ubicaciones'!A91</x:f>
        <x:v>0</x:v>
      </x:c>
      <x:c r="B103" t="str">
        <x:f>IF(A103="","",IF(COUNTIF('Indicadores'!$A$2:$A$501,A103)=0,"FALTA","OK"))</x:f>
      </x:c>
      <x:c r="C103" t="str">
        <x:f>IF(A103="","",IF(COUNTIF('Ubicaciones'!$A$2:$A$501,A103)&gt;1,"DUPLICADO","OK"))</x:f>
      </x:c>
    </x:row>
    <x:row r="104">
      <x:c r="A104" t="n">
        <x:f>'Ubicaciones'!A92</x:f>
        <x:v>0</x:v>
      </x:c>
      <x:c r="B104" t="str">
        <x:f>IF(A104="","",IF(COUNTIF('Indicadores'!$A$2:$A$501,A104)=0,"FALTA","OK"))</x:f>
      </x:c>
      <x:c r="C104" t="str">
        <x:f>IF(A104="","",IF(COUNTIF('Ubicaciones'!$A$2:$A$501,A104)&gt;1,"DUPLICADO","OK"))</x:f>
      </x:c>
    </x:row>
    <x:row r="105">
      <x:c r="A105" t="n">
        <x:f>'Ubicaciones'!A93</x:f>
        <x:v>0</x:v>
      </x:c>
      <x:c r="B105" t="str">
        <x:f>IF(A105="","",IF(COUNTIF('Indicadores'!$A$2:$A$501,A105)=0,"FALTA","OK"))</x:f>
      </x:c>
      <x:c r="C105" t="str">
        <x:f>IF(A105="","",IF(COUNTIF('Ubicaciones'!$A$2:$A$501,A105)&gt;1,"DUPLICADO","OK"))</x:f>
      </x:c>
    </x:row>
    <x:row r="106">
      <x:c r="A106" t="n">
        <x:f>'Ubicaciones'!A94</x:f>
        <x:v>0</x:v>
      </x:c>
      <x:c r="B106" t="str">
        <x:f>IF(A106="","",IF(COUNTIF('Indicadores'!$A$2:$A$501,A106)=0,"FALTA","OK"))</x:f>
      </x:c>
      <x:c r="C106" t="str">
        <x:f>IF(A106="","",IF(COUNTIF('Ubicaciones'!$A$2:$A$501,A106)&gt;1,"DUPLICADO","OK"))</x:f>
      </x:c>
    </x:row>
    <x:row r="107">
      <x:c r="A107" t="n">
        <x:f>'Ubicaciones'!A95</x:f>
        <x:v>0</x:v>
      </x:c>
      <x:c r="B107" t="str">
        <x:f>IF(A107="","",IF(COUNTIF('Indicadores'!$A$2:$A$501,A107)=0,"FALTA","OK"))</x:f>
      </x:c>
      <x:c r="C107" t="str">
        <x:f>IF(A107="","",IF(COUNTIF('Ubicaciones'!$A$2:$A$501,A107)&gt;1,"DUPLICADO","OK"))</x:f>
      </x:c>
    </x:row>
    <x:row r="108">
      <x:c r="A108" t="n">
        <x:f>'Ubicaciones'!A96</x:f>
        <x:v>0</x:v>
      </x:c>
      <x:c r="B108" t="str">
        <x:f>IF(A108="","",IF(COUNTIF('Indicadores'!$A$2:$A$501,A108)=0,"FALTA","OK"))</x:f>
      </x:c>
      <x:c r="C108" t="str">
        <x:f>IF(A108="","",IF(COUNTIF('Ubicaciones'!$A$2:$A$501,A108)&gt;1,"DUPLICADO","OK"))</x:f>
      </x:c>
    </x:row>
    <x:row r="109">
      <x:c r="A109" t="n">
        <x:f>'Ubicaciones'!A97</x:f>
        <x:v>0</x:v>
      </x:c>
      <x:c r="B109" t="str">
        <x:f>IF(A109="","",IF(COUNTIF('Indicadores'!$A$2:$A$501,A109)=0,"FALTA","OK"))</x:f>
      </x:c>
      <x:c r="C109" t="str">
        <x:f>IF(A109="","",IF(COUNTIF('Ubicaciones'!$A$2:$A$501,A109)&gt;1,"DUPLICADO","OK"))</x:f>
      </x:c>
    </x:row>
    <x:row r="110">
      <x:c r="A110" t="n">
        <x:f>'Ubicaciones'!A98</x:f>
        <x:v>0</x:v>
      </x:c>
      <x:c r="B110" t="str">
        <x:f>IF(A110="","",IF(COUNTIF('Indicadores'!$A$2:$A$501,A110)=0,"FALTA","OK"))</x:f>
      </x:c>
      <x:c r="C110" t="str">
        <x:f>IF(A110="","",IF(COUNTIF('Ubicaciones'!$A$2:$A$501,A110)&gt;1,"DUPLICADO","OK"))</x:f>
      </x:c>
    </x:row>
    <x:row r="111">
      <x:c r="A111" t="n">
        <x:f>'Ubicaciones'!A99</x:f>
        <x:v>0</x:v>
      </x:c>
      <x:c r="B111" t="str">
        <x:f>IF(A111="","",IF(COUNTIF('Indicadores'!$A$2:$A$501,A111)=0,"FALTA","OK"))</x:f>
      </x:c>
      <x:c r="C111" t="str">
        <x:f>IF(A111="","",IF(COUNTIF('Ubicaciones'!$A$2:$A$501,A111)&gt;1,"DUPLICADO","OK"))</x:f>
      </x:c>
    </x:row>
    <x:row r="112">
      <x:c r="A112" t="n">
        <x:f>'Ubicaciones'!A100</x:f>
        <x:v>0</x:v>
      </x:c>
      <x:c r="B112" t="str">
        <x:f>IF(A112="","",IF(COUNTIF('Indicadores'!$A$2:$A$501,A112)=0,"FALTA","OK"))</x:f>
      </x:c>
      <x:c r="C112" t="str">
        <x:f>IF(A112="","",IF(COUNTIF('Ubicaciones'!$A$2:$A$501,A112)&gt;1,"DUPLICADO","OK"))</x:f>
      </x:c>
    </x:row>
    <x:row r="113">
      <x:c r="A113" t="n">
        <x:f>'Ubicaciones'!A101</x:f>
        <x:v>0</x:v>
      </x:c>
      <x:c r="B113" t="str">
        <x:f>IF(A113="","",IF(COUNTIF('Indicadores'!$A$2:$A$501,A113)=0,"FALTA","OK"))</x:f>
      </x:c>
      <x:c r="C113" t="str">
        <x:f>IF(A113="","",IF(COUNTIF('Ubicaciones'!$A$2:$A$501,A113)&gt;1,"DUPLICADO","OK"))</x:f>
      </x:c>
    </x:row>
    <x:row r="114">
      <x:c r="A114" t="n">
        <x:f>'Ubicaciones'!A102</x:f>
        <x:v>0</x:v>
      </x:c>
      <x:c r="B114" t="str">
        <x:f>IF(A114="","",IF(COUNTIF('Indicadores'!$A$2:$A$501,A114)=0,"FALTA","OK"))</x:f>
      </x:c>
      <x:c r="C114" t="str">
        <x:f>IF(A114="","",IF(COUNTIF('Ubicaciones'!$A$2:$A$501,A114)&gt;1,"DUPLICADO","OK"))</x:f>
      </x:c>
    </x:row>
    <x:row r="115">
      <x:c r="A115" t="n">
        <x:f>'Ubicaciones'!A103</x:f>
        <x:v>0</x:v>
      </x:c>
      <x:c r="B115" t="str">
        <x:f>IF(A115="","",IF(COUNTIF('Indicadores'!$A$2:$A$501,A115)=0,"FALTA","OK"))</x:f>
      </x:c>
      <x:c r="C115" t="str">
        <x:f>IF(A115="","",IF(COUNTIF('Ubicaciones'!$A$2:$A$501,A115)&gt;1,"DUPLICADO","OK"))</x:f>
      </x:c>
    </x:row>
    <x:row r="116">
      <x:c r="A116" t="n">
        <x:f>'Ubicaciones'!A104</x:f>
        <x:v>0</x:v>
      </x:c>
      <x:c r="B116" t="str">
        <x:f>IF(A116="","",IF(COUNTIF('Indicadores'!$A$2:$A$501,A116)=0,"FALTA","OK"))</x:f>
      </x:c>
      <x:c r="C116" t="str">
        <x:f>IF(A116="","",IF(COUNTIF('Ubicaciones'!$A$2:$A$501,A116)&gt;1,"DUPLICADO","OK"))</x:f>
      </x:c>
    </x:row>
    <x:row r="117">
      <x:c r="A117" t="n">
        <x:f>'Ubicaciones'!A105</x:f>
        <x:v>0</x:v>
      </x:c>
      <x:c r="B117" t="str">
        <x:f>IF(A117="","",IF(COUNTIF('Indicadores'!$A$2:$A$501,A117)=0,"FALTA","OK"))</x:f>
      </x:c>
      <x:c r="C117" t="str">
        <x:f>IF(A117="","",IF(COUNTIF('Ubicaciones'!$A$2:$A$501,A117)&gt;1,"DUPLICADO","OK"))</x:f>
      </x:c>
    </x:row>
    <x:row r="118">
      <x:c r="A118" t="n">
        <x:f>'Ubicaciones'!A106</x:f>
        <x:v>0</x:v>
      </x:c>
      <x:c r="B118" t="str">
        <x:f>IF(A118="","",IF(COUNTIF('Indicadores'!$A$2:$A$501,A118)=0,"FALTA","OK"))</x:f>
      </x:c>
      <x:c r="C118" t="str">
        <x:f>IF(A118="","",IF(COUNTIF('Ubicaciones'!$A$2:$A$501,A118)&gt;1,"DUPLICADO","OK"))</x:f>
      </x:c>
    </x:row>
    <x:row r="119">
      <x:c r="A119" t="n">
        <x:f>'Ubicaciones'!A107</x:f>
        <x:v>0</x:v>
      </x:c>
      <x:c r="B119" t="str">
        <x:f>IF(A119="","",IF(COUNTIF('Indicadores'!$A$2:$A$501,A119)=0,"FALTA","OK"))</x:f>
      </x:c>
      <x:c r="C119" t="str">
        <x:f>IF(A119="","",IF(COUNTIF('Ubicaciones'!$A$2:$A$501,A119)&gt;1,"DUPLICADO","OK"))</x:f>
      </x:c>
    </x:row>
    <x:row r="120">
      <x:c r="A120" t="n">
        <x:f>'Ubicaciones'!A108</x:f>
        <x:v>0</x:v>
      </x:c>
      <x:c r="B120" t="str">
        <x:f>IF(A120="","",IF(COUNTIF('Indicadores'!$A$2:$A$501,A120)=0,"FALTA","OK"))</x:f>
      </x:c>
      <x:c r="C120" t="str">
        <x:f>IF(A120="","",IF(COUNTIF('Ubicaciones'!$A$2:$A$501,A120)&gt;1,"DUPLICADO","OK"))</x:f>
      </x:c>
    </x:row>
    <x:row r="121">
      <x:c r="A121" t="n">
        <x:f>'Ubicaciones'!A109</x:f>
        <x:v>0</x:v>
      </x:c>
      <x:c r="B121" t="str">
        <x:f>IF(A121="","",IF(COUNTIF('Indicadores'!$A$2:$A$501,A121)=0,"FALTA","OK"))</x:f>
      </x:c>
      <x:c r="C121" t="str">
        <x:f>IF(A121="","",IF(COUNTIF('Ubicaciones'!$A$2:$A$501,A121)&gt;1,"DUPLICADO","OK"))</x:f>
      </x:c>
    </x:row>
    <x:row r="122">
      <x:c r="A122" t="n">
        <x:f>'Ubicaciones'!A110</x:f>
        <x:v>0</x:v>
      </x:c>
      <x:c r="B122" t="str">
        <x:f>IF(A122="","",IF(COUNTIF('Indicadores'!$A$2:$A$501,A122)=0,"FALTA","OK"))</x:f>
      </x:c>
      <x:c r="C122" t="str">
        <x:f>IF(A122="","",IF(COUNTIF('Ubicaciones'!$A$2:$A$501,A122)&gt;1,"DUPLICADO","OK"))</x:f>
      </x:c>
    </x:row>
    <x:row r="123">
      <x:c r="A123" t="n">
        <x:f>'Ubicaciones'!A111</x:f>
        <x:v>0</x:v>
      </x:c>
      <x:c r="B123" t="str">
        <x:f>IF(A123="","",IF(COUNTIF('Indicadores'!$A$2:$A$501,A123)=0,"FALTA","OK"))</x:f>
      </x:c>
      <x:c r="C123" t="str">
        <x:f>IF(A123="","",IF(COUNTIF('Ubicaciones'!$A$2:$A$501,A123)&gt;1,"DUPLICADO","OK"))</x:f>
      </x:c>
    </x:row>
    <x:row r="124">
      <x:c r="A124" t="n">
        <x:f>'Ubicaciones'!A112</x:f>
        <x:v>0</x:v>
      </x:c>
      <x:c r="B124" t="str">
        <x:f>IF(A124="","",IF(COUNTIF('Indicadores'!$A$2:$A$501,A124)=0,"FALTA","OK"))</x:f>
      </x:c>
      <x:c r="C124" t="str">
        <x:f>IF(A124="","",IF(COUNTIF('Ubicaciones'!$A$2:$A$501,A124)&gt;1,"DUPLICADO","OK"))</x:f>
      </x:c>
    </x:row>
    <x:row r="125">
      <x:c r="A125" t="n">
        <x:f>'Ubicaciones'!A113</x:f>
        <x:v>0</x:v>
      </x:c>
      <x:c r="B125" t="str">
        <x:f>IF(A125="","",IF(COUNTIF('Indicadores'!$A$2:$A$501,A125)=0,"FALTA","OK"))</x:f>
      </x:c>
      <x:c r="C125" t="str">
        <x:f>IF(A125="","",IF(COUNTIF('Ubicaciones'!$A$2:$A$501,A125)&gt;1,"DUPLICADO","OK"))</x:f>
      </x:c>
    </x:row>
    <x:row r="126">
      <x:c r="A126" t="n">
        <x:f>'Ubicaciones'!A114</x:f>
        <x:v>0</x:v>
      </x:c>
      <x:c r="B126" t="str">
        <x:f>IF(A126="","",IF(COUNTIF('Indicadores'!$A$2:$A$501,A126)=0,"FALTA","OK"))</x:f>
      </x:c>
      <x:c r="C126" t="str">
        <x:f>IF(A126="","",IF(COUNTIF('Ubicaciones'!$A$2:$A$501,A126)&gt;1,"DUPLICADO","OK"))</x:f>
      </x:c>
    </x:row>
    <x:row r="127">
      <x:c r="A127" t="n">
        <x:f>'Ubicaciones'!A115</x:f>
        <x:v>0</x:v>
      </x:c>
      <x:c r="B127" t="str">
        <x:f>IF(A127="","",IF(COUNTIF('Indicadores'!$A$2:$A$501,A127)=0,"FALTA","OK"))</x:f>
      </x:c>
      <x:c r="C127" t="str">
        <x:f>IF(A127="","",IF(COUNTIF('Ubicaciones'!$A$2:$A$501,A127)&gt;1,"DUPLICADO","OK"))</x:f>
      </x:c>
    </x:row>
    <x:row r="128">
      <x:c r="A128" t="n">
        <x:f>'Ubicaciones'!A116</x:f>
        <x:v>0</x:v>
      </x:c>
      <x:c r="B128" t="str">
        <x:f>IF(A128="","",IF(COUNTIF('Indicadores'!$A$2:$A$501,A128)=0,"FALTA","OK"))</x:f>
      </x:c>
      <x:c r="C128" t="str">
        <x:f>IF(A128="","",IF(COUNTIF('Ubicaciones'!$A$2:$A$501,A128)&gt;1,"DUPLICADO","OK"))</x:f>
      </x:c>
    </x:row>
    <x:row r="129">
      <x:c r="A129" t="n">
        <x:f>'Ubicaciones'!A117</x:f>
        <x:v>0</x:v>
      </x:c>
      <x:c r="B129" t="str">
        <x:f>IF(A129="","",IF(COUNTIF('Indicadores'!$A$2:$A$501,A129)=0,"FALTA","OK"))</x:f>
      </x:c>
      <x:c r="C129" t="str">
        <x:f>IF(A129="","",IF(COUNTIF('Ubicaciones'!$A$2:$A$501,A129)&gt;1,"DUPLICADO","OK"))</x:f>
      </x:c>
    </x:row>
    <x:row r="130">
      <x:c r="A130" t="n">
        <x:f>'Ubicaciones'!A118</x:f>
        <x:v>0</x:v>
      </x:c>
      <x:c r="B130" t="str">
        <x:f>IF(A130="","",IF(COUNTIF('Indicadores'!$A$2:$A$501,A130)=0,"FALTA","OK"))</x:f>
      </x:c>
      <x:c r="C130" t="str">
        <x:f>IF(A130="","",IF(COUNTIF('Ubicaciones'!$A$2:$A$501,A130)&gt;1,"DUPLICADO","OK"))</x:f>
      </x:c>
    </x:row>
    <x:row r="131">
      <x:c r="A131" t="n">
        <x:f>'Ubicaciones'!A119</x:f>
        <x:v>0</x:v>
      </x:c>
      <x:c r="B131" t="str">
        <x:f>IF(A131="","",IF(COUNTIF('Indicadores'!$A$2:$A$501,A131)=0,"FALTA","OK"))</x:f>
      </x:c>
      <x:c r="C131" t="str">
        <x:f>IF(A131="","",IF(COUNTIF('Ubicaciones'!$A$2:$A$501,A131)&gt;1,"DUPLICADO","OK"))</x:f>
      </x:c>
    </x:row>
    <x:row r="132">
      <x:c r="A132" t="n">
        <x:f>'Ubicaciones'!A120</x:f>
        <x:v>0</x:v>
      </x:c>
      <x:c r="B132" t="str">
        <x:f>IF(A132="","",IF(COUNTIF('Indicadores'!$A$2:$A$501,A132)=0,"FALTA","OK"))</x:f>
      </x:c>
      <x:c r="C132" t="str">
        <x:f>IF(A132="","",IF(COUNTIF('Ubicaciones'!$A$2:$A$501,A132)&gt;1,"DUPLICADO","OK"))</x:f>
      </x:c>
    </x:row>
    <x:row r="133">
      <x:c r="A133" t="n">
        <x:f>'Ubicaciones'!A121</x:f>
        <x:v>0</x:v>
      </x:c>
      <x:c r="B133" t="str">
        <x:f>IF(A133="","",IF(COUNTIF('Indicadores'!$A$2:$A$501,A133)=0,"FALTA","OK"))</x:f>
      </x:c>
      <x:c r="C133" t="str">
        <x:f>IF(A133="","",IF(COUNTIF('Ubicaciones'!$A$2:$A$501,A133)&gt;1,"DUPLICADO","OK"))</x:f>
      </x:c>
    </x:row>
    <x:row r="134">
      <x:c r="A134" t="n">
        <x:f>'Ubicaciones'!A122</x:f>
        <x:v>0</x:v>
      </x:c>
      <x:c r="B134" t="str">
        <x:f>IF(A134="","",IF(COUNTIF('Indicadores'!$A$2:$A$501,A134)=0,"FALTA","OK"))</x:f>
      </x:c>
      <x:c r="C134" t="str">
        <x:f>IF(A134="","",IF(COUNTIF('Ubicaciones'!$A$2:$A$501,A134)&gt;1,"DUPLICADO","OK"))</x:f>
      </x:c>
    </x:row>
    <x:row r="135">
      <x:c r="A135" t="n">
        <x:f>'Ubicaciones'!A123</x:f>
        <x:v>0</x:v>
      </x:c>
      <x:c r="B135" t="str">
        <x:f>IF(A135="","",IF(COUNTIF('Indicadores'!$A$2:$A$501,A135)=0,"FALTA","OK"))</x:f>
      </x:c>
      <x:c r="C135" t="str">
        <x:f>IF(A135="","",IF(COUNTIF('Ubicaciones'!$A$2:$A$501,A135)&gt;1,"DUPLICADO","OK"))</x:f>
      </x:c>
    </x:row>
    <x:row r="136">
      <x:c r="A136" t="n">
        <x:f>'Ubicaciones'!A124</x:f>
        <x:v>0</x:v>
      </x:c>
      <x:c r="B136" t="str">
        <x:f>IF(A136="","",IF(COUNTIF('Indicadores'!$A$2:$A$501,A136)=0,"FALTA","OK"))</x:f>
      </x:c>
      <x:c r="C136" t="str">
        <x:f>IF(A136="","",IF(COUNTIF('Ubicaciones'!$A$2:$A$501,A136)&gt;1,"DUPLICADO","OK"))</x:f>
      </x:c>
    </x:row>
    <x:row r="137">
      <x:c r="A137" t="n">
        <x:f>'Ubicaciones'!A125</x:f>
        <x:v>0</x:v>
      </x:c>
      <x:c r="B137" t="str">
        <x:f>IF(A137="","",IF(COUNTIF('Indicadores'!$A$2:$A$501,A137)=0,"FALTA","OK"))</x:f>
      </x:c>
      <x:c r="C137" t="str">
        <x:f>IF(A137="","",IF(COUNTIF('Ubicaciones'!$A$2:$A$501,A137)&gt;1,"DUPLICADO","OK"))</x:f>
      </x:c>
    </x:row>
    <x:row r="138">
      <x:c r="A138" t="n">
        <x:f>'Ubicaciones'!A126</x:f>
        <x:v>0</x:v>
      </x:c>
      <x:c r="B138" t="str">
        <x:f>IF(A138="","",IF(COUNTIF('Indicadores'!$A$2:$A$501,A138)=0,"FALTA","OK"))</x:f>
      </x:c>
      <x:c r="C138" t="str">
        <x:f>IF(A138="","",IF(COUNTIF('Ubicaciones'!$A$2:$A$501,A138)&gt;1,"DUPLICADO","OK"))</x:f>
      </x:c>
    </x:row>
    <x:row r="139">
      <x:c r="A139" t="n">
        <x:f>'Ubicaciones'!A127</x:f>
        <x:v>0</x:v>
      </x:c>
      <x:c r="B139" t="str">
        <x:f>IF(A139="","",IF(COUNTIF('Indicadores'!$A$2:$A$501,A139)=0,"FALTA","OK"))</x:f>
      </x:c>
      <x:c r="C139" t="str">
        <x:f>IF(A139="","",IF(COUNTIF('Ubicaciones'!$A$2:$A$501,A139)&gt;1,"DUPLICADO","OK"))</x:f>
      </x:c>
    </x:row>
    <x:row r="140">
      <x:c r="A140" t="n">
        <x:f>'Ubicaciones'!A128</x:f>
        <x:v>0</x:v>
      </x:c>
      <x:c r="B140" t="str">
        <x:f>IF(A140="","",IF(COUNTIF('Indicadores'!$A$2:$A$501,A140)=0,"FALTA","OK"))</x:f>
      </x:c>
      <x:c r="C140" t="str">
        <x:f>IF(A140="","",IF(COUNTIF('Ubicaciones'!$A$2:$A$501,A140)&gt;1,"DUPLICADO","OK"))</x:f>
      </x:c>
    </x:row>
    <x:row r="141">
      <x:c r="A141" t="n">
        <x:f>'Ubicaciones'!A129</x:f>
        <x:v>0</x:v>
      </x:c>
      <x:c r="B141" t="str">
        <x:f>IF(A141="","",IF(COUNTIF('Indicadores'!$A$2:$A$501,A141)=0,"FALTA","OK"))</x:f>
      </x:c>
      <x:c r="C141" t="str">
        <x:f>IF(A141="","",IF(COUNTIF('Ubicaciones'!$A$2:$A$501,A141)&gt;1,"DUPLICADO","OK"))</x:f>
      </x:c>
    </x:row>
    <x:row r="142">
      <x:c r="A142" t="n">
        <x:f>'Ubicaciones'!A130</x:f>
        <x:v>0</x:v>
      </x:c>
      <x:c r="B142" t="str">
        <x:f>IF(A142="","",IF(COUNTIF('Indicadores'!$A$2:$A$501,A142)=0,"FALTA","OK"))</x:f>
      </x:c>
      <x:c r="C142" t="str">
        <x:f>IF(A142="","",IF(COUNTIF('Ubicaciones'!$A$2:$A$501,A142)&gt;1,"DUPLICADO","OK"))</x:f>
      </x:c>
    </x:row>
    <x:row r="143">
      <x:c r="A143" t="n">
        <x:f>'Ubicaciones'!A131</x:f>
        <x:v>0</x:v>
      </x:c>
      <x:c r="B143" t="str">
        <x:f>IF(A143="","",IF(COUNTIF('Indicadores'!$A$2:$A$501,A143)=0,"FALTA","OK"))</x:f>
      </x:c>
      <x:c r="C143" t="str">
        <x:f>IF(A143="","",IF(COUNTIF('Ubicaciones'!$A$2:$A$501,A143)&gt;1,"DUPLICADO","OK"))</x:f>
      </x:c>
    </x:row>
    <x:row r="144">
      <x:c r="A144" t="n">
        <x:f>'Ubicaciones'!A132</x:f>
        <x:v>0</x:v>
      </x:c>
      <x:c r="B144" t="str">
        <x:f>IF(A144="","",IF(COUNTIF('Indicadores'!$A$2:$A$501,A144)=0,"FALTA","OK"))</x:f>
      </x:c>
      <x:c r="C144" t="str">
        <x:f>IF(A144="","",IF(COUNTIF('Ubicaciones'!$A$2:$A$501,A144)&gt;1,"DUPLICADO","OK"))</x:f>
      </x:c>
    </x:row>
    <x:row r="145">
      <x:c r="A145" t="n">
        <x:f>'Ubicaciones'!A133</x:f>
        <x:v>0</x:v>
      </x:c>
      <x:c r="B145" t="str">
        <x:f>IF(A145="","",IF(COUNTIF('Indicadores'!$A$2:$A$501,A145)=0,"FALTA","OK"))</x:f>
      </x:c>
      <x:c r="C145" t="str">
        <x:f>IF(A145="","",IF(COUNTIF('Ubicaciones'!$A$2:$A$501,A145)&gt;1,"DUPLICADO","OK"))</x:f>
      </x:c>
    </x:row>
    <x:row r="146">
      <x:c r="A146" t="n">
        <x:f>'Ubicaciones'!A134</x:f>
        <x:v>0</x:v>
      </x:c>
      <x:c r="B146" t="str">
        <x:f>IF(A146="","",IF(COUNTIF('Indicadores'!$A$2:$A$501,A146)=0,"FALTA","OK"))</x:f>
      </x:c>
      <x:c r="C146" t="str">
        <x:f>IF(A146="","",IF(COUNTIF('Ubicaciones'!$A$2:$A$501,A146)&gt;1,"DUPLICADO","OK"))</x:f>
      </x:c>
    </x:row>
    <x:row r="147">
      <x:c r="A147" t="n">
        <x:f>'Ubicaciones'!A135</x:f>
        <x:v>0</x:v>
      </x:c>
      <x:c r="B147" t="str">
        <x:f>IF(A147="","",IF(COUNTIF('Indicadores'!$A$2:$A$501,A147)=0,"FALTA","OK"))</x:f>
      </x:c>
      <x:c r="C147" t="str">
        <x:f>IF(A147="","",IF(COUNTIF('Ubicaciones'!$A$2:$A$501,A147)&gt;1,"DUPLICADO","OK"))</x:f>
      </x:c>
    </x:row>
    <x:row r="148">
      <x:c r="A148" t="n">
        <x:f>'Ubicaciones'!A136</x:f>
        <x:v>0</x:v>
      </x:c>
      <x:c r="B148" t="str">
        <x:f>IF(A148="","",IF(COUNTIF('Indicadores'!$A$2:$A$501,A148)=0,"FALTA","OK"))</x:f>
      </x:c>
      <x:c r="C148" t="str">
        <x:f>IF(A148="","",IF(COUNTIF('Ubicaciones'!$A$2:$A$501,A148)&gt;1,"DUPLICADO","OK"))</x:f>
      </x:c>
    </x:row>
    <x:row r="149">
      <x:c r="A149" t="n">
        <x:f>'Ubicaciones'!A137</x:f>
        <x:v>0</x:v>
      </x:c>
      <x:c r="B149" t="str">
        <x:f>IF(A149="","",IF(COUNTIF('Indicadores'!$A$2:$A$501,A149)=0,"FALTA","OK"))</x:f>
      </x:c>
      <x:c r="C149" t="str">
        <x:f>IF(A149="","",IF(COUNTIF('Ubicaciones'!$A$2:$A$501,A149)&gt;1,"DUPLICADO","OK"))</x:f>
      </x:c>
    </x:row>
    <x:row r="150">
      <x:c r="A150" t="n">
        <x:f>'Ubicaciones'!A138</x:f>
        <x:v>0</x:v>
      </x:c>
      <x:c r="B150" t="str">
        <x:f>IF(A150="","",IF(COUNTIF('Indicadores'!$A$2:$A$501,A150)=0,"FALTA","OK"))</x:f>
      </x:c>
      <x:c r="C150" t="str">
        <x:f>IF(A150="","",IF(COUNTIF('Ubicaciones'!$A$2:$A$501,A150)&gt;1,"DUPLICADO","OK"))</x:f>
      </x:c>
    </x:row>
    <x:row r="151">
      <x:c r="A151" t="n">
        <x:f>'Ubicaciones'!A139</x:f>
        <x:v>0</x:v>
      </x:c>
      <x:c r="B151" t="str">
        <x:f>IF(A151="","",IF(COUNTIF('Indicadores'!$A$2:$A$501,A151)=0,"FALTA","OK"))</x:f>
      </x:c>
      <x:c r="C151" t="str">
        <x:f>IF(A151="","",IF(COUNTIF('Ubicaciones'!$A$2:$A$501,A151)&gt;1,"DUPLICADO","OK"))</x:f>
      </x:c>
    </x:row>
    <x:row r="152">
      <x:c r="A152" t="n">
        <x:f>'Ubicaciones'!A140</x:f>
        <x:v>0</x:v>
      </x:c>
      <x:c r="B152" t="str">
        <x:f>IF(A152="","",IF(COUNTIF('Indicadores'!$A$2:$A$501,A152)=0,"FALTA","OK"))</x:f>
      </x:c>
      <x:c r="C152" t="str">
        <x:f>IF(A152="","",IF(COUNTIF('Ubicaciones'!$A$2:$A$501,A152)&gt;1,"DUPLICADO","OK"))</x:f>
      </x:c>
    </x:row>
    <x:row r="153">
      <x:c r="A153" t="n">
        <x:f>'Ubicaciones'!A141</x:f>
        <x:v>0</x:v>
      </x:c>
      <x:c r="B153" t="str">
        <x:f>IF(A153="","",IF(COUNTIF('Indicadores'!$A$2:$A$501,A153)=0,"FALTA","OK"))</x:f>
      </x:c>
      <x:c r="C153" t="str">
        <x:f>IF(A153="","",IF(COUNTIF('Ubicaciones'!$A$2:$A$501,A153)&gt;1,"DUPLICADO","OK"))</x:f>
      </x:c>
    </x:row>
    <x:row r="154">
      <x:c r="A154" t="n">
        <x:f>'Ubicaciones'!A142</x:f>
        <x:v>0</x:v>
      </x:c>
      <x:c r="B154" t="str">
        <x:f>IF(A154="","",IF(COUNTIF('Indicadores'!$A$2:$A$501,A154)=0,"FALTA","OK"))</x:f>
      </x:c>
      <x:c r="C154" t="str">
        <x:f>IF(A154="","",IF(COUNTIF('Ubicaciones'!$A$2:$A$501,A154)&gt;1,"DUPLICADO","OK"))</x:f>
      </x:c>
    </x:row>
    <x:row r="155">
      <x:c r="A155" t="n">
        <x:f>'Ubicaciones'!A143</x:f>
        <x:v>0</x:v>
      </x:c>
      <x:c r="B155" t="str">
        <x:f>IF(A155="","",IF(COUNTIF('Indicadores'!$A$2:$A$501,A155)=0,"FALTA","OK"))</x:f>
      </x:c>
      <x:c r="C155" t="str">
        <x:f>IF(A155="","",IF(COUNTIF('Ubicaciones'!$A$2:$A$501,A155)&gt;1,"DUPLICADO","OK"))</x:f>
      </x:c>
    </x:row>
    <x:row r="156">
      <x:c r="A156" t="n">
        <x:f>'Ubicaciones'!A144</x:f>
        <x:v>0</x:v>
      </x:c>
      <x:c r="B156" t="str">
        <x:f>IF(A156="","",IF(COUNTIF('Indicadores'!$A$2:$A$501,A156)=0,"FALTA","OK"))</x:f>
      </x:c>
      <x:c r="C156" t="str">
        <x:f>IF(A156="","",IF(COUNTIF('Ubicaciones'!$A$2:$A$501,A156)&gt;1,"DUPLICADO","OK"))</x:f>
      </x:c>
    </x:row>
    <x:row r="157">
      <x:c r="A157" t="n">
        <x:f>'Ubicaciones'!A145</x:f>
        <x:v>0</x:v>
      </x:c>
      <x:c r="B157" t="str">
        <x:f>IF(A157="","",IF(COUNTIF('Indicadores'!$A$2:$A$501,A157)=0,"FALTA","OK"))</x:f>
      </x:c>
      <x:c r="C157" t="str">
        <x:f>IF(A157="","",IF(COUNTIF('Ubicaciones'!$A$2:$A$501,A157)&gt;1,"DUPLICADO","OK"))</x:f>
      </x:c>
    </x:row>
    <x:row r="158">
      <x:c r="A158" t="n">
        <x:f>'Ubicaciones'!A146</x:f>
        <x:v>0</x:v>
      </x:c>
      <x:c r="B158" t="str">
        <x:f>IF(A158="","",IF(COUNTIF('Indicadores'!$A$2:$A$501,A158)=0,"FALTA","OK"))</x:f>
      </x:c>
      <x:c r="C158" t="str">
        <x:f>IF(A158="","",IF(COUNTIF('Ubicaciones'!$A$2:$A$501,A158)&gt;1,"DUPLICADO","OK"))</x:f>
      </x:c>
    </x:row>
    <x:row r="159">
      <x:c r="A159" t="n">
        <x:f>'Ubicaciones'!A147</x:f>
        <x:v>0</x:v>
      </x:c>
      <x:c r="B159" t="str">
        <x:f>IF(A159="","",IF(COUNTIF('Indicadores'!$A$2:$A$501,A159)=0,"FALTA","OK"))</x:f>
      </x:c>
      <x:c r="C159" t="str">
        <x:f>IF(A159="","",IF(COUNTIF('Ubicaciones'!$A$2:$A$501,A159)&gt;1,"DUPLICADO","OK"))</x:f>
      </x:c>
    </x:row>
    <x:row r="160">
      <x:c r="A160" t="n">
        <x:f>'Ubicaciones'!A148</x:f>
        <x:v>0</x:v>
      </x:c>
      <x:c r="B160" t="str">
        <x:f>IF(A160="","",IF(COUNTIF('Indicadores'!$A$2:$A$501,A160)=0,"FALTA","OK"))</x:f>
      </x:c>
      <x:c r="C160" t="str">
        <x:f>IF(A160="","",IF(COUNTIF('Ubicaciones'!$A$2:$A$501,A160)&gt;1,"DUPLICADO","OK"))</x:f>
      </x:c>
    </x:row>
    <x:row r="161">
      <x:c r="A161" t="n">
        <x:f>'Ubicaciones'!A149</x:f>
        <x:v>0</x:v>
      </x:c>
      <x:c r="B161" t="str">
        <x:f>IF(A161="","",IF(COUNTIF('Indicadores'!$A$2:$A$501,A161)=0,"FALTA","OK"))</x:f>
      </x:c>
      <x:c r="C161" t="str">
        <x:f>IF(A161="","",IF(COUNTIF('Ubicaciones'!$A$2:$A$501,A161)&gt;1,"DUPLICADO","OK"))</x:f>
      </x:c>
    </x:row>
    <x:row r="162">
      <x:c r="A162" t="n">
        <x:f>'Ubicaciones'!A150</x:f>
        <x:v>0</x:v>
      </x:c>
      <x:c r="B162" t="str">
        <x:f>IF(A162="","",IF(COUNTIF('Indicadores'!$A$2:$A$501,A162)=0,"FALTA","OK"))</x:f>
      </x:c>
      <x:c r="C162" t="str">
        <x:f>IF(A162="","",IF(COUNTIF('Ubicaciones'!$A$2:$A$501,A162)&gt;1,"DUPLICADO","OK"))</x:f>
      </x:c>
    </x:row>
    <x:row r="163">
      <x:c r="A163" t="n">
        <x:f>'Ubicaciones'!A151</x:f>
        <x:v>0</x:v>
      </x:c>
      <x:c r="B163" t="str">
        <x:f>IF(A163="","",IF(COUNTIF('Indicadores'!$A$2:$A$501,A163)=0,"FALTA","OK"))</x:f>
      </x:c>
      <x:c r="C163" t="str">
        <x:f>IF(A163="","",IF(COUNTIF('Ubicaciones'!$A$2:$A$501,A163)&gt;1,"DUPLICADO","OK"))</x:f>
      </x:c>
    </x:row>
    <x:row r="164">
      <x:c r="A164" t="n">
        <x:f>'Ubicaciones'!A152</x:f>
        <x:v>0</x:v>
      </x:c>
      <x:c r="B164" t="str">
        <x:f>IF(A164="","",IF(COUNTIF('Indicadores'!$A$2:$A$501,A164)=0,"FALTA","OK"))</x:f>
      </x:c>
      <x:c r="C164" t="str">
        <x:f>IF(A164="","",IF(COUNTIF('Ubicaciones'!$A$2:$A$501,A164)&gt;1,"DUPLICADO","OK"))</x:f>
      </x:c>
    </x:row>
    <x:row r="165">
      <x:c r="A165" t="n">
        <x:f>'Ubicaciones'!A153</x:f>
        <x:v>0</x:v>
      </x:c>
      <x:c r="B165" t="str">
        <x:f>IF(A165="","",IF(COUNTIF('Indicadores'!$A$2:$A$501,A165)=0,"FALTA","OK"))</x:f>
      </x:c>
      <x:c r="C165" t="str">
        <x:f>IF(A165="","",IF(COUNTIF('Ubicaciones'!$A$2:$A$501,A165)&gt;1,"DUPLICADO","OK"))</x:f>
      </x:c>
    </x:row>
    <x:row r="166">
      <x:c r="A166" t="n">
        <x:f>'Ubicaciones'!A154</x:f>
        <x:v>0</x:v>
      </x:c>
      <x:c r="B166" t="str">
        <x:f>IF(A166="","",IF(COUNTIF('Indicadores'!$A$2:$A$501,A166)=0,"FALTA","OK"))</x:f>
      </x:c>
      <x:c r="C166" t="str">
        <x:f>IF(A166="","",IF(COUNTIF('Ubicaciones'!$A$2:$A$501,A166)&gt;1,"DUPLICADO","OK"))</x:f>
      </x:c>
    </x:row>
    <x:row r="167">
      <x:c r="A167" t="n">
        <x:f>'Ubicaciones'!A155</x:f>
        <x:v>0</x:v>
      </x:c>
      <x:c r="B167" t="str">
        <x:f>IF(A167="","",IF(COUNTIF('Indicadores'!$A$2:$A$501,A167)=0,"FALTA","OK"))</x:f>
      </x:c>
      <x:c r="C167" t="str">
        <x:f>IF(A167="","",IF(COUNTIF('Ubicaciones'!$A$2:$A$501,A167)&gt;1,"DUPLICADO","OK"))</x:f>
      </x:c>
    </x:row>
    <x:row r="168">
      <x:c r="A168" t="n">
        <x:f>'Ubicaciones'!A156</x:f>
        <x:v>0</x:v>
      </x:c>
      <x:c r="B168" t="str">
        <x:f>IF(A168="","",IF(COUNTIF('Indicadores'!$A$2:$A$501,A168)=0,"FALTA","OK"))</x:f>
      </x:c>
      <x:c r="C168" t="str">
        <x:f>IF(A168="","",IF(COUNTIF('Ubicaciones'!$A$2:$A$501,A168)&gt;1,"DUPLICADO","OK"))</x:f>
      </x:c>
    </x:row>
    <x:row r="169">
      <x:c r="A169" t="n">
        <x:f>'Ubicaciones'!A157</x:f>
        <x:v>0</x:v>
      </x:c>
      <x:c r="B169" t="str">
        <x:f>IF(A169="","",IF(COUNTIF('Indicadores'!$A$2:$A$501,A169)=0,"FALTA","OK"))</x:f>
      </x:c>
      <x:c r="C169" t="str">
        <x:f>IF(A169="","",IF(COUNTIF('Ubicaciones'!$A$2:$A$501,A169)&gt;1,"DUPLICADO","OK"))</x:f>
      </x:c>
    </x:row>
    <x:row r="170">
      <x:c r="A170" t="n">
        <x:f>'Ubicaciones'!A158</x:f>
        <x:v>0</x:v>
      </x:c>
      <x:c r="B170" t="str">
        <x:f>IF(A170="","",IF(COUNTIF('Indicadores'!$A$2:$A$501,A170)=0,"FALTA","OK"))</x:f>
      </x:c>
      <x:c r="C170" t="str">
        <x:f>IF(A170="","",IF(COUNTIF('Ubicaciones'!$A$2:$A$501,A170)&gt;1,"DUPLICADO","OK"))</x:f>
      </x:c>
    </x:row>
    <x:row r="171">
      <x:c r="A171" t="n">
        <x:f>'Ubicaciones'!A159</x:f>
        <x:v>0</x:v>
      </x:c>
      <x:c r="B171" t="str">
        <x:f>IF(A171="","",IF(COUNTIF('Indicadores'!$A$2:$A$501,A171)=0,"FALTA","OK"))</x:f>
      </x:c>
      <x:c r="C171" t="str">
        <x:f>IF(A171="","",IF(COUNTIF('Ubicaciones'!$A$2:$A$501,A171)&gt;1,"DUPLICADO","OK"))</x:f>
      </x:c>
    </x:row>
    <x:row r="172">
      <x:c r="A172" t="n">
        <x:f>'Ubicaciones'!A160</x:f>
        <x:v>0</x:v>
      </x:c>
      <x:c r="B172" t="str">
        <x:f>IF(A172="","",IF(COUNTIF('Indicadores'!$A$2:$A$501,A172)=0,"FALTA","OK"))</x:f>
      </x:c>
      <x:c r="C172" t="str">
        <x:f>IF(A172="","",IF(COUNTIF('Ubicaciones'!$A$2:$A$501,A172)&gt;1,"DUPLICADO","OK"))</x:f>
      </x:c>
    </x:row>
    <x:row r="173">
      <x:c r="A173" t="n">
        <x:f>'Ubicaciones'!A161</x:f>
        <x:v>0</x:v>
      </x:c>
      <x:c r="B173" t="str">
        <x:f>IF(A173="","",IF(COUNTIF('Indicadores'!$A$2:$A$501,A173)=0,"FALTA","OK"))</x:f>
      </x:c>
      <x:c r="C173" t="str">
        <x:f>IF(A173="","",IF(COUNTIF('Ubicaciones'!$A$2:$A$501,A173)&gt;1,"DUPLICADO","OK"))</x:f>
      </x:c>
    </x:row>
    <x:row r="174">
      <x:c r="A174" t="n">
        <x:f>'Ubicaciones'!A162</x:f>
        <x:v>0</x:v>
      </x:c>
      <x:c r="B174" t="str">
        <x:f>IF(A174="","",IF(COUNTIF('Indicadores'!$A$2:$A$501,A174)=0,"FALTA","OK"))</x:f>
      </x:c>
      <x:c r="C174" t="str">
        <x:f>IF(A174="","",IF(COUNTIF('Ubicaciones'!$A$2:$A$501,A174)&gt;1,"DUPLICADO","OK"))</x:f>
      </x:c>
    </x:row>
    <x:row r="175">
      <x:c r="A175" t="n">
        <x:f>'Ubicaciones'!A163</x:f>
        <x:v>0</x:v>
      </x:c>
      <x:c r="B175" t="str">
        <x:f>IF(A175="","",IF(COUNTIF('Indicadores'!$A$2:$A$501,A175)=0,"FALTA","OK"))</x:f>
      </x:c>
      <x:c r="C175" t="str">
        <x:f>IF(A175="","",IF(COUNTIF('Ubicaciones'!$A$2:$A$501,A175)&gt;1,"DUPLICADO","OK"))</x:f>
      </x:c>
    </x:row>
    <x:row r="176">
      <x:c r="A176" t="n">
        <x:f>'Ubicaciones'!A164</x:f>
        <x:v>0</x:v>
      </x:c>
      <x:c r="B176" t="str">
        <x:f>IF(A176="","",IF(COUNTIF('Indicadores'!$A$2:$A$501,A176)=0,"FALTA","OK"))</x:f>
      </x:c>
      <x:c r="C176" t="str">
        <x:f>IF(A176="","",IF(COUNTIF('Ubicaciones'!$A$2:$A$501,A176)&gt;1,"DUPLICADO","OK"))</x:f>
      </x:c>
    </x:row>
    <x:row r="177">
      <x:c r="A177" t="n">
        <x:f>'Ubicaciones'!A165</x:f>
        <x:v>0</x:v>
      </x:c>
      <x:c r="B177" t="str">
        <x:f>IF(A177="","",IF(COUNTIF('Indicadores'!$A$2:$A$501,A177)=0,"FALTA","OK"))</x:f>
      </x:c>
      <x:c r="C177" t="str">
        <x:f>IF(A177="","",IF(COUNTIF('Ubicaciones'!$A$2:$A$501,A177)&gt;1,"DUPLICADO","OK"))</x:f>
      </x:c>
    </x:row>
    <x:row r="178">
      <x:c r="A178" t="n">
        <x:f>'Ubicaciones'!A166</x:f>
        <x:v>0</x:v>
      </x:c>
      <x:c r="B178" t="str">
        <x:f>IF(A178="","",IF(COUNTIF('Indicadores'!$A$2:$A$501,A178)=0,"FALTA","OK"))</x:f>
      </x:c>
      <x:c r="C178" t="str">
        <x:f>IF(A178="","",IF(COUNTIF('Ubicaciones'!$A$2:$A$501,A178)&gt;1,"DUPLICADO","OK"))</x:f>
      </x:c>
    </x:row>
    <x:row r="179">
      <x:c r="A179" t="n">
        <x:f>'Ubicaciones'!A167</x:f>
        <x:v>0</x:v>
      </x:c>
      <x:c r="B179" t="str">
        <x:f>IF(A179="","",IF(COUNTIF('Indicadores'!$A$2:$A$501,A179)=0,"FALTA","OK"))</x:f>
      </x:c>
      <x:c r="C179" t="str">
        <x:f>IF(A179="","",IF(COUNTIF('Ubicaciones'!$A$2:$A$501,A179)&gt;1,"DUPLICADO","OK"))</x:f>
      </x:c>
    </x:row>
    <x:row r="180">
      <x:c r="A180" t="n">
        <x:f>'Ubicaciones'!A168</x:f>
        <x:v>0</x:v>
      </x:c>
      <x:c r="B180" t="str">
        <x:f>IF(A180="","",IF(COUNTIF('Indicadores'!$A$2:$A$501,A180)=0,"FALTA","OK"))</x:f>
      </x:c>
      <x:c r="C180" t="str">
        <x:f>IF(A180="","",IF(COUNTIF('Ubicaciones'!$A$2:$A$501,A180)&gt;1,"DUPLICADO","OK"))</x:f>
      </x:c>
    </x:row>
    <x:row r="181">
      <x:c r="A181" t="n">
        <x:f>'Ubicaciones'!A169</x:f>
        <x:v>0</x:v>
      </x:c>
      <x:c r="B181" t="str">
        <x:f>IF(A181="","",IF(COUNTIF('Indicadores'!$A$2:$A$501,A181)=0,"FALTA","OK"))</x:f>
      </x:c>
      <x:c r="C181" t="str">
        <x:f>IF(A181="","",IF(COUNTIF('Ubicaciones'!$A$2:$A$501,A181)&gt;1,"DUPLICADO","OK"))</x:f>
      </x:c>
    </x:row>
    <x:row r="182">
      <x:c r="A182" t="n">
        <x:f>'Ubicaciones'!A170</x:f>
        <x:v>0</x:v>
      </x:c>
      <x:c r="B182" t="str">
        <x:f>IF(A182="","",IF(COUNTIF('Indicadores'!$A$2:$A$501,A182)=0,"FALTA","OK"))</x:f>
      </x:c>
      <x:c r="C182" t="str">
        <x:f>IF(A182="","",IF(COUNTIF('Ubicaciones'!$A$2:$A$501,A182)&gt;1,"DUPLICADO","OK"))</x:f>
      </x:c>
    </x:row>
    <x:row r="183">
      <x:c r="A183" t="n">
        <x:f>'Ubicaciones'!A171</x:f>
        <x:v>0</x:v>
      </x:c>
      <x:c r="B183" t="str">
        <x:f>IF(A183="","",IF(COUNTIF('Indicadores'!$A$2:$A$501,A183)=0,"FALTA","OK"))</x:f>
      </x:c>
      <x:c r="C183" t="str">
        <x:f>IF(A183="","",IF(COUNTIF('Ubicaciones'!$A$2:$A$501,A183)&gt;1,"DUPLICADO","OK"))</x:f>
      </x:c>
    </x:row>
    <x:row r="184">
      <x:c r="A184" t="n">
        <x:f>'Ubicaciones'!A172</x:f>
        <x:v>0</x:v>
      </x:c>
      <x:c r="B184" t="str">
        <x:f>IF(A184="","",IF(COUNTIF('Indicadores'!$A$2:$A$501,A184)=0,"FALTA","OK"))</x:f>
      </x:c>
      <x:c r="C184" t="str">
        <x:f>IF(A184="","",IF(COUNTIF('Ubicaciones'!$A$2:$A$501,A184)&gt;1,"DUPLICADO","OK"))</x:f>
      </x:c>
    </x:row>
    <x:row r="185">
      <x:c r="A185" t="n">
        <x:f>'Ubicaciones'!A173</x:f>
        <x:v>0</x:v>
      </x:c>
      <x:c r="B185" t="str">
        <x:f>IF(A185="","",IF(COUNTIF('Indicadores'!$A$2:$A$501,A185)=0,"FALTA","OK"))</x:f>
      </x:c>
      <x:c r="C185" t="str">
        <x:f>IF(A185="","",IF(COUNTIF('Ubicaciones'!$A$2:$A$501,A185)&gt;1,"DUPLICADO","OK"))</x:f>
      </x:c>
    </x:row>
    <x:row r="186">
      <x:c r="A186" t="n">
        <x:f>'Ubicaciones'!A174</x:f>
        <x:v>0</x:v>
      </x:c>
      <x:c r="B186" t="str">
        <x:f>IF(A186="","",IF(COUNTIF('Indicadores'!$A$2:$A$501,A186)=0,"FALTA","OK"))</x:f>
      </x:c>
      <x:c r="C186" t="str">
        <x:f>IF(A186="","",IF(COUNTIF('Ubicaciones'!$A$2:$A$501,A186)&gt;1,"DUPLICADO","OK"))</x:f>
      </x:c>
    </x:row>
    <x:row r="187">
      <x:c r="A187" t="n">
        <x:f>'Ubicaciones'!A175</x:f>
        <x:v>0</x:v>
      </x:c>
      <x:c r="B187" t="str">
        <x:f>IF(A187="","",IF(COUNTIF('Indicadores'!$A$2:$A$501,A187)=0,"FALTA","OK"))</x:f>
      </x:c>
      <x:c r="C187" t="str">
        <x:f>IF(A187="","",IF(COUNTIF('Ubicaciones'!$A$2:$A$501,A187)&gt;1,"DUPLICADO","OK"))</x:f>
      </x:c>
    </x:row>
    <x:row r="188">
      <x:c r="A188" t="n">
        <x:f>'Ubicaciones'!A176</x:f>
        <x:v>0</x:v>
      </x:c>
      <x:c r="B188" t="str">
        <x:f>IF(A188="","",IF(COUNTIF('Indicadores'!$A$2:$A$501,A188)=0,"FALTA","OK"))</x:f>
      </x:c>
      <x:c r="C188" t="str">
        <x:f>IF(A188="","",IF(COUNTIF('Ubicaciones'!$A$2:$A$501,A188)&gt;1,"DUPLICADO","OK"))</x:f>
      </x:c>
    </x:row>
    <x:row r="189">
      <x:c r="A189" t="n">
        <x:f>'Ubicaciones'!A177</x:f>
        <x:v>0</x:v>
      </x:c>
      <x:c r="B189" t="str">
        <x:f>IF(A189="","",IF(COUNTIF('Indicadores'!$A$2:$A$501,A189)=0,"FALTA","OK"))</x:f>
      </x:c>
      <x:c r="C189" t="str">
        <x:f>IF(A189="","",IF(COUNTIF('Ubicaciones'!$A$2:$A$501,A189)&gt;1,"DUPLICADO","OK"))</x:f>
      </x:c>
    </x:row>
    <x:row r="190">
      <x:c r="A190" t="n">
        <x:f>'Ubicaciones'!A178</x:f>
        <x:v>0</x:v>
      </x:c>
      <x:c r="B190" t="str">
        <x:f>IF(A190="","",IF(COUNTIF('Indicadores'!$A$2:$A$501,A190)=0,"FALTA","OK"))</x:f>
      </x:c>
      <x:c r="C190" t="str">
        <x:f>IF(A190="","",IF(COUNTIF('Ubicaciones'!$A$2:$A$501,A190)&gt;1,"DUPLICADO","OK"))</x:f>
      </x:c>
    </x:row>
    <x:row r="191">
      <x:c r="A191" t="n">
        <x:f>'Ubicaciones'!A179</x:f>
        <x:v>0</x:v>
      </x:c>
      <x:c r="B191" t="str">
        <x:f>IF(A191="","",IF(COUNTIF('Indicadores'!$A$2:$A$501,A191)=0,"FALTA","OK"))</x:f>
      </x:c>
      <x:c r="C191" t="str">
        <x:f>IF(A191="","",IF(COUNTIF('Ubicaciones'!$A$2:$A$501,A191)&gt;1,"DUPLICADO","OK"))</x:f>
      </x:c>
    </x:row>
    <x:row r="192">
      <x:c r="A192" t="n">
        <x:f>'Ubicaciones'!A180</x:f>
        <x:v>0</x:v>
      </x:c>
      <x:c r="B192" t="str">
        <x:f>IF(A192="","",IF(COUNTIF('Indicadores'!$A$2:$A$501,A192)=0,"FALTA","OK"))</x:f>
      </x:c>
      <x:c r="C192" t="str">
        <x:f>IF(A192="","",IF(COUNTIF('Ubicaciones'!$A$2:$A$501,A192)&gt;1,"DUPLICADO","OK"))</x:f>
      </x:c>
    </x:row>
    <x:row r="193">
      <x:c r="A193" t="n">
        <x:f>'Ubicaciones'!A181</x:f>
        <x:v>0</x:v>
      </x:c>
      <x:c r="B193" t="str">
        <x:f>IF(A193="","",IF(COUNTIF('Indicadores'!$A$2:$A$501,A193)=0,"FALTA","OK"))</x:f>
      </x:c>
      <x:c r="C193" t="str">
        <x:f>IF(A193="","",IF(COUNTIF('Ubicaciones'!$A$2:$A$501,A193)&gt;1,"DUPLICADO","OK"))</x:f>
      </x:c>
    </x:row>
    <x:row r="194">
      <x:c r="A194" t="n">
        <x:f>'Ubicaciones'!A182</x:f>
        <x:v>0</x:v>
      </x:c>
      <x:c r="B194" t="str">
        <x:f>IF(A194="","",IF(COUNTIF('Indicadores'!$A$2:$A$501,A194)=0,"FALTA","OK"))</x:f>
      </x:c>
      <x:c r="C194" t="str">
        <x:f>IF(A194="","",IF(COUNTIF('Ubicaciones'!$A$2:$A$501,A194)&gt;1,"DUPLICADO","OK"))</x:f>
      </x:c>
    </x:row>
    <x:row r="195">
      <x:c r="A195" t="n">
        <x:f>'Ubicaciones'!A183</x:f>
        <x:v>0</x:v>
      </x:c>
      <x:c r="B195" t="str">
        <x:f>IF(A195="","",IF(COUNTIF('Indicadores'!$A$2:$A$501,A195)=0,"FALTA","OK"))</x:f>
      </x:c>
      <x:c r="C195" t="str">
        <x:f>IF(A195="","",IF(COUNTIF('Ubicaciones'!$A$2:$A$501,A195)&gt;1,"DUPLICADO","OK"))</x:f>
      </x:c>
    </x:row>
    <x:row r="196">
      <x:c r="A196" t="n">
        <x:f>'Ubicaciones'!A184</x:f>
        <x:v>0</x:v>
      </x:c>
      <x:c r="B196" t="str">
        <x:f>IF(A196="","",IF(COUNTIF('Indicadores'!$A$2:$A$501,A196)=0,"FALTA","OK"))</x:f>
      </x:c>
      <x:c r="C196" t="str">
        <x:f>IF(A196="","",IF(COUNTIF('Ubicaciones'!$A$2:$A$501,A196)&gt;1,"DUPLICADO","OK"))</x:f>
      </x:c>
    </x:row>
    <x:row r="197">
      <x:c r="A197" t="n">
        <x:f>'Ubicaciones'!A185</x:f>
        <x:v>0</x:v>
      </x:c>
      <x:c r="B197" t="str">
        <x:f>IF(A197="","",IF(COUNTIF('Indicadores'!$A$2:$A$501,A197)=0,"FALTA","OK"))</x:f>
      </x:c>
      <x:c r="C197" t="str">
        <x:f>IF(A197="","",IF(COUNTIF('Ubicaciones'!$A$2:$A$501,A197)&gt;1,"DUPLICADO","OK"))</x:f>
      </x:c>
    </x:row>
    <x:row r="198">
      <x:c r="A198" t="n">
        <x:f>'Ubicaciones'!A186</x:f>
        <x:v>0</x:v>
      </x:c>
      <x:c r="B198" t="str">
        <x:f>IF(A198="","",IF(COUNTIF('Indicadores'!$A$2:$A$501,A198)=0,"FALTA","OK"))</x:f>
      </x:c>
      <x:c r="C198" t="str">
        <x:f>IF(A198="","",IF(COUNTIF('Ubicaciones'!$A$2:$A$501,A198)&gt;1,"DUPLICADO","OK"))</x:f>
      </x:c>
    </x:row>
    <x:row r="199">
      <x:c r="A199" t="n">
        <x:f>'Ubicaciones'!A187</x:f>
        <x:v>0</x:v>
      </x:c>
      <x:c r="B199" t="str">
        <x:f>IF(A199="","",IF(COUNTIF('Indicadores'!$A$2:$A$501,A199)=0,"FALTA","OK"))</x:f>
      </x:c>
      <x:c r="C199" t="str">
        <x:f>IF(A199="","",IF(COUNTIF('Ubicaciones'!$A$2:$A$501,A199)&gt;1,"DUPLICADO","OK"))</x:f>
      </x:c>
    </x:row>
    <x:row r="200">
      <x:c r="A200" t="n">
        <x:f>'Ubicaciones'!A188</x:f>
        <x:v>0</x:v>
      </x:c>
      <x:c r="B200" t="str">
        <x:f>IF(A200="","",IF(COUNTIF('Indicadores'!$A$2:$A$501,A200)=0,"FALTA","OK"))</x:f>
      </x:c>
      <x:c r="C200" t="str">
        <x:f>IF(A200="","",IF(COUNTIF('Ubicaciones'!$A$2:$A$501,A200)&gt;1,"DUPLICADO","OK"))</x:f>
      </x:c>
    </x:row>
    <x:row r="201">
      <x:c r="A201" t="n">
        <x:f>'Ubicaciones'!A189</x:f>
        <x:v>0</x:v>
      </x:c>
      <x:c r="B201" t="str">
        <x:f>IF(A201="","",IF(COUNTIF('Indicadores'!$A$2:$A$501,A201)=0,"FALTA","OK"))</x:f>
      </x:c>
      <x:c r="C201" t="str">
        <x:f>IF(A201="","",IF(COUNTIF('Ubicaciones'!$A$2:$A$501,A201)&gt;1,"DUPLICADO","OK"))</x:f>
      </x:c>
    </x:row>
    <x:row r="202">
      <x:c r="A202" t="n">
        <x:f>'Ubicaciones'!A190</x:f>
        <x:v>0</x:v>
      </x:c>
      <x:c r="B202" t="str">
        <x:f>IF(A202="","",IF(COUNTIF('Indicadores'!$A$2:$A$501,A202)=0,"FALTA","OK"))</x:f>
      </x:c>
      <x:c r="C202" t="str">
        <x:f>IF(A202="","",IF(COUNTIF('Ubicaciones'!$A$2:$A$501,A202)&gt;1,"DUPLICADO","OK"))</x:f>
      </x:c>
    </x:row>
    <x:row r="203">
      <x:c r="A203" t="n">
        <x:f>'Ubicaciones'!A191</x:f>
        <x:v>0</x:v>
      </x:c>
      <x:c r="B203" t="str">
        <x:f>IF(A203="","",IF(COUNTIF('Indicadores'!$A$2:$A$501,A203)=0,"FALTA","OK"))</x:f>
      </x:c>
      <x:c r="C203" t="str">
        <x:f>IF(A203="","",IF(COUNTIF('Ubicaciones'!$A$2:$A$501,A203)&gt;1,"DUPLICADO","OK"))</x:f>
      </x:c>
    </x:row>
    <x:row r="204">
      <x:c r="A204" t="n">
        <x:f>'Ubicaciones'!A192</x:f>
        <x:v>0</x:v>
      </x:c>
      <x:c r="B204" t="str">
        <x:f>IF(A204="","",IF(COUNTIF('Indicadores'!$A$2:$A$501,A204)=0,"FALTA","OK"))</x:f>
      </x:c>
      <x:c r="C204" t="str">
        <x:f>IF(A204="","",IF(COUNTIF('Ubicaciones'!$A$2:$A$501,A204)&gt;1,"DUPLICADO","OK"))</x:f>
      </x:c>
    </x:row>
    <x:row r="205">
      <x:c r="A205" t="n">
        <x:f>'Ubicaciones'!A193</x:f>
        <x:v>0</x:v>
      </x:c>
      <x:c r="B205" t="str">
        <x:f>IF(A205="","",IF(COUNTIF('Indicadores'!$A$2:$A$501,A205)=0,"FALTA","OK"))</x:f>
      </x:c>
      <x:c r="C205" t="str">
        <x:f>IF(A205="","",IF(COUNTIF('Ubicaciones'!$A$2:$A$501,A205)&gt;1,"DUPLICADO","OK"))</x:f>
      </x:c>
    </x:row>
    <x:row r="206">
      <x:c r="A206" t="n">
        <x:f>'Ubicaciones'!A194</x:f>
        <x:v>0</x:v>
      </x:c>
      <x:c r="B206" t="str">
        <x:f>IF(A206="","",IF(COUNTIF('Indicadores'!$A$2:$A$501,A206)=0,"FALTA","OK"))</x:f>
      </x:c>
      <x:c r="C206" t="str">
        <x:f>IF(A206="","",IF(COUNTIF('Ubicaciones'!$A$2:$A$501,A206)&gt;1,"DUPLICADO","OK"))</x:f>
      </x:c>
    </x:row>
    <x:row r="207">
      <x:c r="A207" t="n">
        <x:f>'Ubicaciones'!A195</x:f>
        <x:v>0</x:v>
      </x:c>
      <x:c r="B207" t="str">
        <x:f>IF(A207="","",IF(COUNTIF('Indicadores'!$A$2:$A$501,A207)=0,"FALTA","OK"))</x:f>
      </x:c>
      <x:c r="C207" t="str">
        <x:f>IF(A207="","",IF(COUNTIF('Ubicaciones'!$A$2:$A$501,A207)&gt;1,"DUPLICADO","OK"))</x:f>
      </x:c>
    </x:row>
    <x:row r="208">
      <x:c r="A208" t="n">
        <x:f>'Ubicaciones'!A196</x:f>
        <x:v>0</x:v>
      </x:c>
      <x:c r="B208" t="str">
        <x:f>IF(A208="","",IF(COUNTIF('Indicadores'!$A$2:$A$501,A208)=0,"FALTA","OK"))</x:f>
      </x:c>
      <x:c r="C208" t="str">
        <x:f>IF(A208="","",IF(COUNTIF('Ubicaciones'!$A$2:$A$501,A208)&gt;1,"DUPLICADO","OK"))</x:f>
      </x:c>
    </x:row>
    <x:row r="209">
      <x:c r="A209" t="n">
        <x:f>'Ubicaciones'!A197</x:f>
        <x:v>0</x:v>
      </x:c>
      <x:c r="B209" t="str">
        <x:f>IF(A209="","",IF(COUNTIF('Indicadores'!$A$2:$A$501,A209)=0,"FALTA","OK"))</x:f>
      </x:c>
      <x:c r="C209" t="str">
        <x:f>IF(A209="","",IF(COUNTIF('Ubicaciones'!$A$2:$A$501,A209)&gt;1,"DUPLICADO","OK"))</x:f>
      </x:c>
    </x:row>
    <x:row r="210">
      <x:c r="A210" t="n">
        <x:f>'Ubicaciones'!A198</x:f>
        <x:v>0</x:v>
      </x:c>
      <x:c r="B210" t="str">
        <x:f>IF(A210="","",IF(COUNTIF('Indicadores'!$A$2:$A$501,A210)=0,"FALTA","OK"))</x:f>
      </x:c>
      <x:c r="C210" t="str">
        <x:f>IF(A210="","",IF(COUNTIF('Ubicaciones'!$A$2:$A$501,A210)&gt;1,"DUPLICADO","OK"))</x:f>
      </x:c>
    </x:row>
    <x:row r="211">
      <x:c r="A211" t="n">
        <x:f>'Ubicaciones'!A199</x:f>
        <x:v>0</x:v>
      </x:c>
      <x:c r="B211" t="str">
        <x:f>IF(A211="","",IF(COUNTIF('Indicadores'!$A$2:$A$501,A211)=0,"FALTA","OK"))</x:f>
      </x:c>
      <x:c r="C211" t="str">
        <x:f>IF(A211="","",IF(COUNTIF('Ubicaciones'!$A$2:$A$501,A211)&gt;1,"DUPLICADO","OK"))</x:f>
      </x:c>
    </x:row>
    <x:row r="212">
      <x:c r="A212" t="n">
        <x:f>'Ubicaciones'!A200</x:f>
        <x:v>0</x:v>
      </x:c>
      <x:c r="B212" t="str">
        <x:f>IF(A212="","",IF(COUNTIF('Indicadores'!$A$2:$A$501,A212)=0,"FALTA","OK"))</x:f>
      </x:c>
      <x:c r="C212" t="str">
        <x:f>IF(A212="","",IF(COUNTIF('Ubicaciones'!$A$2:$A$501,A212)&gt;1,"DUPLICADO","OK"))</x:f>
      </x:c>
    </x:row>
    <x:row r="213">
      <x:c r="A213" t="n">
        <x:f>'Ubicaciones'!A201</x:f>
        <x:v>0</x:v>
      </x:c>
      <x:c r="B213" t="str">
        <x:f>IF(A213="","",IF(COUNTIF('Indicadores'!$A$2:$A$501,A213)=0,"FALTA","OK"))</x:f>
      </x:c>
      <x:c r="C213" t="str">
        <x:f>IF(A213="","",IF(COUNTIF('Ubicaciones'!$A$2:$A$501,A213)&gt;1,"DUPLICADO","OK"))</x:f>
      </x:c>
    </x:row>
    <x:row r="214">
      <x:c r="A214" t="n">
        <x:f>'Ubicaciones'!A202</x:f>
        <x:v>0</x:v>
      </x:c>
      <x:c r="B214" t="str">
        <x:f>IF(A214="","",IF(COUNTIF('Indicadores'!$A$2:$A$501,A214)=0,"FALTA","OK"))</x:f>
      </x:c>
      <x:c r="C214" t="str">
        <x:f>IF(A214="","",IF(COUNTIF('Ubicaciones'!$A$2:$A$501,A214)&gt;1,"DUPLICADO","OK"))</x:f>
      </x:c>
    </x:row>
    <x:row r="215">
      <x:c r="A215" t="n">
        <x:f>'Ubicaciones'!A203</x:f>
        <x:v>0</x:v>
      </x:c>
      <x:c r="B215" t="str">
        <x:f>IF(A215="","",IF(COUNTIF('Indicadores'!$A$2:$A$501,A215)=0,"FALTA","OK"))</x:f>
      </x:c>
      <x:c r="C215" t="str">
        <x:f>IF(A215="","",IF(COUNTIF('Ubicaciones'!$A$2:$A$501,A215)&gt;1,"DUPLICADO","OK"))</x:f>
      </x:c>
    </x:row>
    <x:row r="216">
      <x:c r="A216" t="n">
        <x:f>'Ubicaciones'!A204</x:f>
        <x:v>0</x:v>
      </x:c>
      <x:c r="B216" t="str">
        <x:f>IF(A216="","",IF(COUNTIF('Indicadores'!$A$2:$A$501,A216)=0,"FALTA","OK"))</x:f>
      </x:c>
      <x:c r="C216" t="str">
        <x:f>IF(A216="","",IF(COUNTIF('Ubicaciones'!$A$2:$A$501,A216)&gt;1,"DUPLICADO","OK"))</x:f>
      </x:c>
    </x:row>
    <x:row r="217">
      <x:c r="A217" t="n">
        <x:f>'Ubicaciones'!A205</x:f>
        <x:v>0</x:v>
      </x:c>
      <x:c r="B217" t="str">
        <x:f>IF(A217="","",IF(COUNTIF('Indicadores'!$A$2:$A$501,A217)=0,"FALTA","OK"))</x:f>
      </x:c>
      <x:c r="C217" t="str">
        <x:f>IF(A217="","",IF(COUNTIF('Ubicaciones'!$A$2:$A$501,A217)&gt;1,"DUPLICADO","OK"))</x:f>
      </x:c>
    </x:row>
    <x:row r="218">
      <x:c r="A218" t="n">
        <x:f>'Ubicaciones'!A206</x:f>
        <x:v>0</x:v>
      </x:c>
      <x:c r="B218" t="str">
        <x:f>IF(A218="","",IF(COUNTIF('Indicadores'!$A$2:$A$501,A218)=0,"FALTA","OK"))</x:f>
      </x:c>
      <x:c r="C218" t="str">
        <x:f>IF(A218="","",IF(COUNTIF('Ubicaciones'!$A$2:$A$501,A218)&gt;1,"DUPLICADO","OK"))</x:f>
      </x:c>
    </x:row>
    <x:row r="219">
      <x:c r="A219" t="n">
        <x:f>'Ubicaciones'!A207</x:f>
        <x:v>0</x:v>
      </x:c>
      <x:c r="B219" t="str">
        <x:f>IF(A219="","",IF(COUNTIF('Indicadores'!$A$2:$A$501,A219)=0,"FALTA","OK"))</x:f>
      </x:c>
      <x:c r="C219" t="str">
        <x:f>IF(A219="","",IF(COUNTIF('Ubicaciones'!$A$2:$A$501,A219)&gt;1,"DUPLICADO","OK"))</x:f>
      </x:c>
    </x:row>
    <x:row r="220">
      <x:c r="A220" t="n">
        <x:f>'Ubicaciones'!A208</x:f>
        <x:v>0</x:v>
      </x:c>
      <x:c r="B220" t="str">
        <x:f>IF(A220="","",IF(COUNTIF('Indicadores'!$A$2:$A$501,A220)=0,"FALTA","OK"))</x:f>
      </x:c>
      <x:c r="C220" t="str">
        <x:f>IF(A220="","",IF(COUNTIF('Ubicaciones'!$A$2:$A$501,A220)&gt;1,"DUPLICADO","OK"))</x:f>
      </x:c>
    </x:row>
    <x:row r="221">
      <x:c r="A221" t="n">
        <x:f>'Ubicaciones'!A209</x:f>
        <x:v>0</x:v>
      </x:c>
      <x:c r="B221" t="str">
        <x:f>IF(A221="","",IF(COUNTIF('Indicadores'!$A$2:$A$501,A221)=0,"FALTA","OK"))</x:f>
      </x:c>
      <x:c r="C221" t="str">
        <x:f>IF(A221="","",IF(COUNTIF('Ubicaciones'!$A$2:$A$501,A221)&gt;1,"DUPLICADO","OK"))</x:f>
      </x:c>
    </x:row>
    <x:row r="222">
      <x:c r="A222" t="n">
        <x:f>'Ubicaciones'!A210</x:f>
        <x:v>0</x:v>
      </x:c>
      <x:c r="B222" t="str">
        <x:f>IF(A222="","",IF(COUNTIF('Indicadores'!$A$2:$A$501,A222)=0,"FALTA","OK"))</x:f>
      </x:c>
      <x:c r="C222" t="str">
        <x:f>IF(A222="","",IF(COUNTIF('Ubicaciones'!$A$2:$A$501,A222)&gt;1,"DUPLICADO","OK"))</x:f>
      </x:c>
    </x:row>
    <x:row r="223">
      <x:c r="A223" t="n">
        <x:f>'Ubicaciones'!A211</x:f>
        <x:v>0</x:v>
      </x:c>
      <x:c r="B223" t="str">
        <x:f>IF(A223="","",IF(COUNTIF('Indicadores'!$A$2:$A$501,A223)=0,"FALTA","OK"))</x:f>
      </x:c>
      <x:c r="C223" t="str">
        <x:f>IF(A223="","",IF(COUNTIF('Ubicaciones'!$A$2:$A$501,A223)&gt;1,"DUPLICADO","OK"))</x:f>
      </x:c>
    </x:row>
    <x:row r="224">
      <x:c r="A224" t="n">
        <x:f>'Ubicaciones'!A212</x:f>
        <x:v>0</x:v>
      </x:c>
      <x:c r="B224" t="str">
        <x:f>IF(A224="","",IF(COUNTIF('Indicadores'!$A$2:$A$501,A224)=0,"FALTA","OK"))</x:f>
      </x:c>
      <x:c r="C224" t="str">
        <x:f>IF(A224="","",IF(COUNTIF('Ubicaciones'!$A$2:$A$501,A224)&gt;1,"DUPLICADO","OK"))</x:f>
      </x:c>
    </x:row>
    <x:row r="225">
      <x:c r="A225" t="n">
        <x:f>'Ubicaciones'!A213</x:f>
        <x:v>0</x:v>
      </x:c>
      <x:c r="B225" t="str">
        <x:f>IF(A225="","",IF(COUNTIF('Indicadores'!$A$2:$A$501,A225)=0,"FALTA","OK"))</x:f>
      </x:c>
      <x:c r="C225" t="str">
        <x:f>IF(A225="","",IF(COUNTIF('Ubicaciones'!$A$2:$A$501,A225)&gt;1,"DUPLICADO","OK"))</x:f>
      </x:c>
    </x:row>
    <x:row r="226">
      <x:c r="A226" t="n">
        <x:f>'Ubicaciones'!A214</x:f>
        <x:v>0</x:v>
      </x:c>
      <x:c r="B226" t="str">
        <x:f>IF(A226="","",IF(COUNTIF('Indicadores'!$A$2:$A$501,A226)=0,"FALTA","OK"))</x:f>
      </x:c>
      <x:c r="C226" t="str">
        <x:f>IF(A226="","",IF(COUNTIF('Ubicaciones'!$A$2:$A$501,A226)&gt;1,"DUPLICADO","OK"))</x:f>
      </x:c>
    </x:row>
    <x:row r="227">
      <x:c r="A227" t="n">
        <x:f>'Ubicaciones'!A215</x:f>
        <x:v>0</x:v>
      </x:c>
      <x:c r="B227" t="str">
        <x:f>IF(A227="","",IF(COUNTIF('Indicadores'!$A$2:$A$501,A227)=0,"FALTA","OK"))</x:f>
      </x:c>
      <x:c r="C227" t="str">
        <x:f>IF(A227="","",IF(COUNTIF('Ubicaciones'!$A$2:$A$501,A227)&gt;1,"DUPLICADO","OK"))</x:f>
      </x:c>
    </x:row>
    <x:row r="228">
      <x:c r="A228" t="n">
        <x:f>'Ubicaciones'!A216</x:f>
        <x:v>0</x:v>
      </x:c>
      <x:c r="B228" t="str">
        <x:f>IF(A228="","",IF(COUNTIF('Indicadores'!$A$2:$A$501,A228)=0,"FALTA","OK"))</x:f>
      </x:c>
      <x:c r="C228" t="str">
        <x:f>IF(A228="","",IF(COUNTIF('Ubicaciones'!$A$2:$A$501,A228)&gt;1,"DUPLICADO","OK"))</x:f>
      </x:c>
    </x:row>
    <x:row r="229">
      <x:c r="A229" t="n">
        <x:f>'Ubicaciones'!A217</x:f>
        <x:v>0</x:v>
      </x:c>
      <x:c r="B229" t="str">
        <x:f>IF(A229="","",IF(COUNTIF('Indicadores'!$A$2:$A$501,A229)=0,"FALTA","OK"))</x:f>
      </x:c>
      <x:c r="C229" t="str">
        <x:f>IF(A229="","",IF(COUNTIF('Ubicaciones'!$A$2:$A$501,A229)&gt;1,"DUPLICADO","OK"))</x:f>
      </x:c>
    </x:row>
    <x:row r="230">
      <x:c r="A230" t="n">
        <x:f>'Ubicaciones'!A218</x:f>
        <x:v>0</x:v>
      </x:c>
      <x:c r="B230" t="str">
        <x:f>IF(A230="","",IF(COUNTIF('Indicadores'!$A$2:$A$501,A230)=0,"FALTA","OK"))</x:f>
      </x:c>
      <x:c r="C230" t="str">
        <x:f>IF(A230="","",IF(COUNTIF('Ubicaciones'!$A$2:$A$501,A230)&gt;1,"DUPLICADO","OK"))</x:f>
      </x:c>
    </x:row>
    <x:row r="231">
      <x:c r="A231" t="n">
        <x:f>'Ubicaciones'!A219</x:f>
        <x:v>0</x:v>
      </x:c>
      <x:c r="B231" t="str">
        <x:f>IF(A231="","",IF(COUNTIF('Indicadores'!$A$2:$A$501,A231)=0,"FALTA","OK"))</x:f>
      </x:c>
      <x:c r="C231" t="str">
        <x:f>IF(A231="","",IF(COUNTIF('Ubicaciones'!$A$2:$A$501,A231)&gt;1,"DUPLICADO","OK"))</x:f>
      </x:c>
    </x:row>
    <x:row r="232">
      <x:c r="A232" t="n">
        <x:f>'Ubicaciones'!A220</x:f>
        <x:v>0</x:v>
      </x:c>
      <x:c r="B232" t="str">
        <x:f>IF(A232="","",IF(COUNTIF('Indicadores'!$A$2:$A$501,A232)=0,"FALTA","OK"))</x:f>
      </x:c>
      <x:c r="C232" t="str">
        <x:f>IF(A232="","",IF(COUNTIF('Ubicaciones'!$A$2:$A$501,A232)&gt;1,"DUPLICADO","OK"))</x:f>
      </x:c>
    </x:row>
    <x:row r="233">
      <x:c r="A233" t="n">
        <x:f>'Ubicaciones'!A221</x:f>
        <x:v>0</x:v>
      </x:c>
      <x:c r="B233" t="str">
        <x:f>IF(A233="","",IF(COUNTIF('Indicadores'!$A$2:$A$501,A233)=0,"FALTA","OK"))</x:f>
      </x:c>
      <x:c r="C233" t="str">
        <x:f>IF(A233="","",IF(COUNTIF('Ubicaciones'!$A$2:$A$501,A233)&gt;1,"DUPLICADO","OK"))</x:f>
      </x:c>
    </x:row>
    <x:row r="234">
      <x:c r="A234" t="n">
        <x:f>'Ubicaciones'!A222</x:f>
        <x:v>0</x:v>
      </x:c>
      <x:c r="B234" t="str">
        <x:f>IF(A234="","",IF(COUNTIF('Indicadores'!$A$2:$A$501,A234)=0,"FALTA","OK"))</x:f>
      </x:c>
      <x:c r="C234" t="str">
        <x:f>IF(A234="","",IF(COUNTIF('Ubicaciones'!$A$2:$A$501,A234)&gt;1,"DUPLICADO","OK"))</x:f>
      </x:c>
    </x:row>
    <x:row r="235">
      <x:c r="A235" t="n">
        <x:f>'Ubicaciones'!A223</x:f>
        <x:v>0</x:v>
      </x:c>
      <x:c r="B235" t="str">
        <x:f>IF(A235="","",IF(COUNTIF('Indicadores'!$A$2:$A$501,A235)=0,"FALTA","OK"))</x:f>
      </x:c>
      <x:c r="C235" t="str">
        <x:f>IF(A235="","",IF(COUNTIF('Ubicaciones'!$A$2:$A$501,A235)&gt;1,"DUPLICADO","OK"))</x:f>
      </x:c>
    </x:row>
    <x:row r="236">
      <x:c r="A236" t="n">
        <x:f>'Ubicaciones'!A224</x:f>
        <x:v>0</x:v>
      </x:c>
      <x:c r="B236" t="str">
        <x:f>IF(A236="","",IF(COUNTIF('Indicadores'!$A$2:$A$501,A236)=0,"FALTA","OK"))</x:f>
      </x:c>
      <x:c r="C236" t="str">
        <x:f>IF(A236="","",IF(COUNTIF('Ubicaciones'!$A$2:$A$501,A236)&gt;1,"DUPLICADO","OK"))</x:f>
      </x:c>
    </x:row>
    <x:row r="237">
      <x:c r="A237" t="n">
        <x:f>'Ubicaciones'!A225</x:f>
        <x:v>0</x:v>
      </x:c>
      <x:c r="B237" t="str">
        <x:f>IF(A237="","",IF(COUNTIF('Indicadores'!$A$2:$A$501,A237)=0,"FALTA","OK"))</x:f>
      </x:c>
      <x:c r="C237" t="str">
        <x:f>IF(A237="","",IF(COUNTIF('Ubicaciones'!$A$2:$A$501,A237)&gt;1,"DUPLICADO","OK"))</x:f>
      </x:c>
    </x:row>
    <x:row r="238">
      <x:c r="A238" t="n">
        <x:f>'Ubicaciones'!A226</x:f>
        <x:v>0</x:v>
      </x:c>
      <x:c r="B238" t="str">
        <x:f>IF(A238="","",IF(COUNTIF('Indicadores'!$A$2:$A$501,A238)=0,"FALTA","OK"))</x:f>
      </x:c>
      <x:c r="C238" t="str">
        <x:f>IF(A238="","",IF(COUNTIF('Ubicaciones'!$A$2:$A$501,A238)&gt;1,"DUPLICADO","OK"))</x:f>
      </x:c>
    </x:row>
    <x:row r="239">
      <x:c r="A239" t="n">
        <x:f>'Ubicaciones'!A227</x:f>
        <x:v>0</x:v>
      </x:c>
      <x:c r="B239" t="str">
        <x:f>IF(A239="","",IF(COUNTIF('Indicadores'!$A$2:$A$501,A239)=0,"FALTA","OK"))</x:f>
      </x:c>
      <x:c r="C239" t="str">
        <x:f>IF(A239="","",IF(COUNTIF('Ubicaciones'!$A$2:$A$501,A239)&gt;1,"DUPLICADO","OK"))</x:f>
      </x:c>
    </x:row>
    <x:row r="240">
      <x:c r="A240" t="n">
        <x:f>'Ubicaciones'!A228</x:f>
        <x:v>0</x:v>
      </x:c>
      <x:c r="B240" t="str">
        <x:f>IF(A240="","",IF(COUNTIF('Indicadores'!$A$2:$A$501,A240)=0,"FALTA","OK"))</x:f>
      </x:c>
      <x:c r="C240" t="str">
        <x:f>IF(A240="","",IF(COUNTIF('Ubicaciones'!$A$2:$A$501,A240)&gt;1,"DUPLICADO","OK"))</x:f>
      </x:c>
    </x:row>
    <x:row r="241">
      <x:c r="A241" t="n">
        <x:f>'Ubicaciones'!A229</x:f>
        <x:v>0</x:v>
      </x:c>
      <x:c r="B241" t="str">
        <x:f>IF(A241="","",IF(COUNTIF('Indicadores'!$A$2:$A$501,A241)=0,"FALTA","OK"))</x:f>
      </x:c>
      <x:c r="C241" t="str">
        <x:f>IF(A241="","",IF(COUNTIF('Ubicaciones'!$A$2:$A$501,A241)&gt;1,"DUPLICADO","OK"))</x:f>
      </x:c>
    </x:row>
    <x:row r="242">
      <x:c r="A242" t="n">
        <x:f>'Ubicaciones'!A230</x:f>
        <x:v>0</x:v>
      </x:c>
      <x:c r="B242" t="str">
        <x:f>IF(A242="","",IF(COUNTIF('Indicadores'!$A$2:$A$501,A242)=0,"FALTA","OK"))</x:f>
      </x:c>
      <x:c r="C242" t="str">
        <x:f>IF(A242="","",IF(COUNTIF('Ubicaciones'!$A$2:$A$501,A242)&gt;1,"DUPLICADO","OK"))</x:f>
      </x:c>
    </x:row>
    <x:row r="243">
      <x:c r="A243" t="n">
        <x:f>'Ubicaciones'!A231</x:f>
        <x:v>0</x:v>
      </x:c>
      <x:c r="B243" t="str">
        <x:f>IF(A243="","",IF(COUNTIF('Indicadores'!$A$2:$A$501,A243)=0,"FALTA","OK"))</x:f>
      </x:c>
      <x:c r="C243" t="str">
        <x:f>IF(A243="","",IF(COUNTIF('Ubicaciones'!$A$2:$A$501,A243)&gt;1,"DUPLICADO","OK"))</x:f>
      </x:c>
    </x:row>
    <x:row r="244">
      <x:c r="A244" t="n">
        <x:f>'Ubicaciones'!A232</x:f>
        <x:v>0</x:v>
      </x:c>
      <x:c r="B244" t="str">
        <x:f>IF(A244="","",IF(COUNTIF('Indicadores'!$A$2:$A$501,A244)=0,"FALTA","OK"))</x:f>
      </x:c>
      <x:c r="C244" t="str">
        <x:f>IF(A244="","",IF(COUNTIF('Ubicaciones'!$A$2:$A$501,A244)&gt;1,"DUPLICADO","OK"))</x:f>
      </x:c>
    </x:row>
    <x:row r="245">
      <x:c r="A245" t="n">
        <x:f>'Ubicaciones'!A233</x:f>
        <x:v>0</x:v>
      </x:c>
      <x:c r="B245" t="str">
        <x:f>IF(A245="","",IF(COUNTIF('Indicadores'!$A$2:$A$501,A245)=0,"FALTA","OK"))</x:f>
      </x:c>
      <x:c r="C245" t="str">
        <x:f>IF(A245="","",IF(COUNTIF('Ubicaciones'!$A$2:$A$501,A245)&gt;1,"DUPLICADO","OK"))</x:f>
      </x:c>
    </x:row>
    <x:row r="246">
      <x:c r="A246" t="n">
        <x:f>'Ubicaciones'!A234</x:f>
        <x:v>0</x:v>
      </x:c>
      <x:c r="B246" t="str">
        <x:f>IF(A246="","",IF(COUNTIF('Indicadores'!$A$2:$A$501,A246)=0,"FALTA","OK"))</x:f>
      </x:c>
      <x:c r="C246" t="str">
        <x:f>IF(A246="","",IF(COUNTIF('Ubicaciones'!$A$2:$A$501,A246)&gt;1,"DUPLICADO","OK"))</x:f>
      </x:c>
    </x:row>
    <x:row r="247">
      <x:c r="A247" t="n">
        <x:f>'Ubicaciones'!A235</x:f>
        <x:v>0</x:v>
      </x:c>
      <x:c r="B247" t="str">
        <x:f>IF(A247="","",IF(COUNTIF('Indicadores'!$A$2:$A$501,A247)=0,"FALTA","OK"))</x:f>
      </x:c>
      <x:c r="C247" t="str">
        <x:f>IF(A247="","",IF(COUNTIF('Ubicaciones'!$A$2:$A$501,A247)&gt;1,"DUPLICADO","OK"))</x:f>
      </x:c>
    </x:row>
    <x:row r="248">
      <x:c r="A248" t="n">
        <x:f>'Ubicaciones'!A236</x:f>
        <x:v>0</x:v>
      </x:c>
      <x:c r="B248" t="str">
        <x:f>IF(A248="","",IF(COUNTIF('Indicadores'!$A$2:$A$501,A248)=0,"FALTA","OK"))</x:f>
      </x:c>
      <x:c r="C248" t="str">
        <x:f>IF(A248="","",IF(COUNTIF('Ubicaciones'!$A$2:$A$501,A248)&gt;1,"DUPLICADO","OK"))</x:f>
      </x:c>
    </x:row>
    <x:row r="249">
      <x:c r="A249" t="n">
        <x:f>'Ubicaciones'!A237</x:f>
        <x:v>0</x:v>
      </x:c>
      <x:c r="B249" t="str">
        <x:f>IF(A249="","",IF(COUNTIF('Indicadores'!$A$2:$A$501,A249)=0,"FALTA","OK"))</x:f>
      </x:c>
      <x:c r="C249" t="str">
        <x:f>IF(A249="","",IF(COUNTIF('Ubicaciones'!$A$2:$A$501,A249)&gt;1,"DUPLICADO","OK"))</x:f>
      </x:c>
    </x:row>
    <x:row r="250">
      <x:c r="A250" t="n">
        <x:f>'Ubicaciones'!A238</x:f>
        <x:v>0</x:v>
      </x:c>
      <x:c r="B250" t="str">
        <x:f>IF(A250="","",IF(COUNTIF('Indicadores'!$A$2:$A$501,A250)=0,"FALTA","OK"))</x:f>
      </x:c>
      <x:c r="C250" t="str">
        <x:f>IF(A250="","",IF(COUNTIF('Ubicaciones'!$A$2:$A$501,A250)&gt;1,"DUPLICADO","OK"))</x:f>
      </x:c>
    </x:row>
    <x:row r="251">
      <x:c r="A251" t="n">
        <x:f>'Ubicaciones'!A239</x:f>
        <x:v>0</x:v>
      </x:c>
      <x:c r="B251" t="str">
        <x:f>IF(A251="","",IF(COUNTIF('Indicadores'!$A$2:$A$501,A251)=0,"FALTA","OK"))</x:f>
      </x:c>
      <x:c r="C251" t="str">
        <x:f>IF(A251="","",IF(COUNTIF('Ubicaciones'!$A$2:$A$501,A251)&gt;1,"DUPLICADO","OK"))</x:f>
      </x:c>
    </x:row>
    <x:row r="252">
      <x:c r="A252" t="n">
        <x:f>'Ubicaciones'!A240</x:f>
        <x:v>0</x:v>
      </x:c>
      <x:c r="B252" t="str">
        <x:f>IF(A252="","",IF(COUNTIF('Indicadores'!$A$2:$A$501,A252)=0,"FALTA","OK"))</x:f>
      </x:c>
      <x:c r="C252" t="str">
        <x:f>IF(A252="","",IF(COUNTIF('Ubicaciones'!$A$2:$A$501,A252)&gt;1,"DUPLICADO","OK"))</x:f>
      </x:c>
    </x:row>
    <x:row r="253">
      <x:c r="A253" t="n">
        <x:f>'Ubicaciones'!A241</x:f>
        <x:v>0</x:v>
      </x:c>
      <x:c r="B253" t="str">
        <x:f>IF(A253="","",IF(COUNTIF('Indicadores'!$A$2:$A$501,A253)=0,"FALTA","OK"))</x:f>
      </x:c>
      <x:c r="C253" t="str">
        <x:f>IF(A253="","",IF(COUNTIF('Ubicaciones'!$A$2:$A$501,A253)&gt;1,"DUPLICADO","OK"))</x:f>
      </x:c>
    </x:row>
    <x:row r="254">
      <x:c r="A254" t="n">
        <x:f>'Ubicaciones'!A242</x:f>
        <x:v>0</x:v>
      </x:c>
      <x:c r="B254" t="str">
        <x:f>IF(A254="","",IF(COUNTIF('Indicadores'!$A$2:$A$501,A254)=0,"FALTA","OK"))</x:f>
      </x:c>
      <x:c r="C254" t="str">
        <x:f>IF(A254="","",IF(COUNTIF('Ubicaciones'!$A$2:$A$501,A254)&gt;1,"DUPLICADO","OK"))</x:f>
      </x:c>
    </x:row>
    <x:row r="255">
      <x:c r="A255" t="n">
        <x:f>'Ubicaciones'!A243</x:f>
        <x:v>0</x:v>
      </x:c>
      <x:c r="B255" t="str">
        <x:f>IF(A255="","",IF(COUNTIF('Indicadores'!$A$2:$A$501,A255)=0,"FALTA","OK"))</x:f>
      </x:c>
      <x:c r="C255" t="str">
        <x:f>IF(A255="","",IF(COUNTIF('Ubicaciones'!$A$2:$A$501,A255)&gt;1,"DUPLICADO","OK"))</x:f>
      </x:c>
    </x:row>
    <x:row r="256">
      <x:c r="A256" t="n">
        <x:f>'Ubicaciones'!A244</x:f>
        <x:v>0</x:v>
      </x:c>
      <x:c r="B256" t="str">
        <x:f>IF(A256="","",IF(COUNTIF('Indicadores'!$A$2:$A$501,A256)=0,"FALTA","OK"))</x:f>
      </x:c>
      <x:c r="C256" t="str">
        <x:f>IF(A256="","",IF(COUNTIF('Ubicaciones'!$A$2:$A$501,A256)&gt;1,"DUPLICADO","OK"))</x:f>
      </x:c>
    </x:row>
    <x:row r="257">
      <x:c r="A257" t="n">
        <x:f>'Ubicaciones'!A245</x:f>
        <x:v>0</x:v>
      </x:c>
      <x:c r="B257" t="str">
        <x:f>IF(A257="","",IF(COUNTIF('Indicadores'!$A$2:$A$501,A257)=0,"FALTA","OK"))</x:f>
      </x:c>
      <x:c r="C257" t="str">
        <x:f>IF(A257="","",IF(COUNTIF('Ubicaciones'!$A$2:$A$501,A257)&gt;1,"DUPLICADO","OK"))</x:f>
      </x:c>
    </x:row>
    <x:row r="258">
      <x:c r="A258" t="n">
        <x:f>'Ubicaciones'!A246</x:f>
        <x:v>0</x:v>
      </x:c>
      <x:c r="B258" t="str">
        <x:f>IF(A258="","",IF(COUNTIF('Indicadores'!$A$2:$A$501,A258)=0,"FALTA","OK"))</x:f>
      </x:c>
      <x:c r="C258" t="str">
        <x:f>IF(A258="","",IF(COUNTIF('Ubicaciones'!$A$2:$A$501,A258)&gt;1,"DUPLICADO","OK"))</x:f>
      </x:c>
    </x:row>
    <x:row r="259">
      <x:c r="A259" t="n">
        <x:f>'Ubicaciones'!A247</x:f>
        <x:v>0</x:v>
      </x:c>
      <x:c r="B259" t="str">
        <x:f>IF(A259="","",IF(COUNTIF('Indicadores'!$A$2:$A$501,A259)=0,"FALTA","OK"))</x:f>
      </x:c>
      <x:c r="C259" t="str">
        <x:f>IF(A259="","",IF(COUNTIF('Ubicaciones'!$A$2:$A$501,A259)&gt;1,"DUPLICADO","OK"))</x:f>
      </x:c>
    </x:row>
    <x:row r="260">
      <x:c r="A260" t="n">
        <x:f>'Ubicaciones'!A248</x:f>
        <x:v>0</x:v>
      </x:c>
      <x:c r="B260" t="str">
        <x:f>IF(A260="","",IF(COUNTIF('Indicadores'!$A$2:$A$501,A260)=0,"FALTA","OK"))</x:f>
      </x:c>
      <x:c r="C260" t="str">
        <x:f>IF(A260="","",IF(COUNTIF('Ubicaciones'!$A$2:$A$501,A260)&gt;1,"DUPLICADO","OK"))</x:f>
      </x:c>
    </x:row>
    <x:row r="261">
      <x:c r="A261" t="n">
        <x:f>'Ubicaciones'!A249</x:f>
        <x:v>0</x:v>
      </x:c>
      <x:c r="B261" t="str">
        <x:f>IF(A261="","",IF(COUNTIF('Indicadores'!$A$2:$A$501,A261)=0,"FALTA","OK"))</x:f>
      </x:c>
      <x:c r="C261" t="str">
        <x:f>IF(A261="","",IF(COUNTIF('Ubicaciones'!$A$2:$A$501,A261)&gt;1,"DUPLICADO","OK"))</x:f>
      </x:c>
    </x:row>
    <x:row r="262">
      <x:c r="A262" t="n">
        <x:f>'Ubicaciones'!A250</x:f>
        <x:v>0</x:v>
      </x:c>
      <x:c r="B262" t="str">
        <x:f>IF(A262="","",IF(COUNTIF('Indicadores'!$A$2:$A$501,A262)=0,"FALTA","OK"))</x:f>
      </x:c>
      <x:c r="C262" t="str">
        <x:f>IF(A262="","",IF(COUNTIF('Ubicaciones'!$A$2:$A$501,A262)&gt;1,"DUPLICADO","OK"))</x:f>
      </x:c>
    </x:row>
    <x:row r="263">
      <x:c r="A263" t="n">
        <x:f>'Ubicaciones'!A251</x:f>
        <x:v>0</x:v>
      </x:c>
      <x:c r="B263" t="str">
        <x:f>IF(A263="","",IF(COUNTIF('Indicadores'!$A$2:$A$501,A263)=0,"FALTA","OK"))</x:f>
      </x:c>
      <x:c r="C263" t="str">
        <x:f>IF(A263="","",IF(COUNTIF('Ubicaciones'!$A$2:$A$501,A263)&gt;1,"DUPLICADO","OK"))</x:f>
      </x:c>
    </x:row>
    <x:row r="264">
      <x:c r="A264" t="n">
        <x:f>'Ubicaciones'!A252</x:f>
        <x:v>0</x:v>
      </x:c>
      <x:c r="B264" t="str">
        <x:f>IF(A264="","",IF(COUNTIF('Indicadores'!$A$2:$A$501,A264)=0,"FALTA","OK"))</x:f>
      </x:c>
      <x:c r="C264" t="str">
        <x:f>IF(A264="","",IF(COUNTIF('Ubicaciones'!$A$2:$A$501,A264)&gt;1,"DUPLICADO","OK"))</x:f>
      </x:c>
    </x:row>
    <x:row r="265">
      <x:c r="A265" t="n">
        <x:f>'Ubicaciones'!A253</x:f>
        <x:v>0</x:v>
      </x:c>
      <x:c r="B265" t="str">
        <x:f>IF(A265="","",IF(COUNTIF('Indicadores'!$A$2:$A$501,A265)=0,"FALTA","OK"))</x:f>
      </x:c>
      <x:c r="C265" t="str">
        <x:f>IF(A265="","",IF(COUNTIF('Ubicaciones'!$A$2:$A$501,A265)&gt;1,"DUPLICADO","OK"))</x:f>
      </x:c>
    </x:row>
    <x:row r="266">
      <x:c r="A266" t="n">
        <x:f>'Ubicaciones'!A254</x:f>
        <x:v>0</x:v>
      </x:c>
      <x:c r="B266" t="str">
        <x:f>IF(A266="","",IF(COUNTIF('Indicadores'!$A$2:$A$501,A266)=0,"FALTA","OK"))</x:f>
      </x:c>
      <x:c r="C266" t="str">
        <x:f>IF(A266="","",IF(COUNTIF('Ubicaciones'!$A$2:$A$501,A266)&gt;1,"DUPLICADO","OK"))</x:f>
      </x:c>
    </x:row>
    <x:row r="267">
      <x:c r="A267" t="n">
        <x:f>'Ubicaciones'!A255</x:f>
        <x:v>0</x:v>
      </x:c>
      <x:c r="B267" t="str">
        <x:f>IF(A267="","",IF(COUNTIF('Indicadores'!$A$2:$A$501,A267)=0,"FALTA","OK"))</x:f>
      </x:c>
      <x:c r="C267" t="str">
        <x:f>IF(A267="","",IF(COUNTIF('Ubicaciones'!$A$2:$A$501,A267)&gt;1,"DUPLICADO","OK"))</x:f>
      </x:c>
    </x:row>
    <x:row r="268">
      <x:c r="A268" t="n">
        <x:f>'Ubicaciones'!A256</x:f>
        <x:v>0</x:v>
      </x:c>
      <x:c r="B268" t="str">
        <x:f>IF(A268="","",IF(COUNTIF('Indicadores'!$A$2:$A$501,A268)=0,"FALTA","OK"))</x:f>
      </x:c>
      <x:c r="C268" t="str">
        <x:f>IF(A268="","",IF(COUNTIF('Ubicaciones'!$A$2:$A$501,A268)&gt;1,"DUPLICADO","OK"))</x:f>
      </x:c>
    </x:row>
    <x:row r="269">
      <x:c r="A269" t="n">
        <x:f>'Ubicaciones'!A257</x:f>
        <x:v>0</x:v>
      </x:c>
      <x:c r="B269" t="str">
        <x:f>IF(A269="","",IF(COUNTIF('Indicadores'!$A$2:$A$501,A269)=0,"FALTA","OK"))</x:f>
      </x:c>
      <x:c r="C269" t="str">
        <x:f>IF(A269="","",IF(COUNTIF('Ubicaciones'!$A$2:$A$501,A269)&gt;1,"DUPLICADO","OK"))</x:f>
      </x:c>
    </x:row>
    <x:row r="270">
      <x:c r="A270" t="n">
        <x:f>'Ubicaciones'!A258</x:f>
        <x:v>0</x:v>
      </x:c>
      <x:c r="B270" t="str">
        <x:f>IF(A270="","",IF(COUNTIF('Indicadores'!$A$2:$A$501,A270)=0,"FALTA","OK"))</x:f>
      </x:c>
      <x:c r="C270" t="str">
        <x:f>IF(A270="","",IF(COUNTIF('Ubicaciones'!$A$2:$A$501,A270)&gt;1,"DUPLICADO","OK"))</x:f>
      </x:c>
    </x:row>
    <x:row r="271">
      <x:c r="A271" t="n">
        <x:f>'Ubicaciones'!A259</x:f>
        <x:v>0</x:v>
      </x:c>
      <x:c r="B271" t="str">
        <x:f>IF(A271="","",IF(COUNTIF('Indicadores'!$A$2:$A$501,A271)=0,"FALTA","OK"))</x:f>
      </x:c>
      <x:c r="C271" t="str">
        <x:f>IF(A271="","",IF(COUNTIF('Ubicaciones'!$A$2:$A$501,A271)&gt;1,"DUPLICADO","OK"))</x:f>
      </x:c>
    </x:row>
    <x:row r="272">
      <x:c r="A272" t="n">
        <x:f>'Ubicaciones'!A260</x:f>
        <x:v>0</x:v>
      </x:c>
      <x:c r="B272" t="str">
        <x:f>IF(A272="","",IF(COUNTIF('Indicadores'!$A$2:$A$501,A272)=0,"FALTA","OK"))</x:f>
      </x:c>
      <x:c r="C272" t="str">
        <x:f>IF(A272="","",IF(COUNTIF('Ubicaciones'!$A$2:$A$501,A272)&gt;1,"DUPLICADO","OK"))</x:f>
      </x:c>
    </x:row>
    <x:row r="273">
      <x:c r="A273" t="n">
        <x:f>'Ubicaciones'!A261</x:f>
        <x:v>0</x:v>
      </x:c>
      <x:c r="B273" t="str">
        <x:f>IF(A273="","",IF(COUNTIF('Indicadores'!$A$2:$A$501,A273)=0,"FALTA","OK"))</x:f>
      </x:c>
      <x:c r="C273" t="str">
        <x:f>IF(A273="","",IF(COUNTIF('Ubicaciones'!$A$2:$A$501,A273)&gt;1,"DUPLICADO","OK"))</x:f>
      </x:c>
    </x:row>
    <x:row r="274">
      <x:c r="A274" t="n">
        <x:f>'Ubicaciones'!A262</x:f>
        <x:v>0</x:v>
      </x:c>
      <x:c r="B274" t="str">
        <x:f>IF(A274="","",IF(COUNTIF('Indicadores'!$A$2:$A$501,A274)=0,"FALTA","OK"))</x:f>
      </x:c>
      <x:c r="C274" t="str">
        <x:f>IF(A274="","",IF(COUNTIF('Ubicaciones'!$A$2:$A$501,A274)&gt;1,"DUPLICADO","OK"))</x:f>
      </x:c>
    </x:row>
    <x:row r="275">
      <x:c r="A275" t="n">
        <x:f>'Ubicaciones'!A263</x:f>
        <x:v>0</x:v>
      </x:c>
      <x:c r="B275" t="str">
        <x:f>IF(A275="","",IF(COUNTIF('Indicadores'!$A$2:$A$501,A275)=0,"FALTA","OK"))</x:f>
      </x:c>
      <x:c r="C275" t="str">
        <x:f>IF(A275="","",IF(COUNTIF('Ubicaciones'!$A$2:$A$501,A275)&gt;1,"DUPLICADO","OK"))</x:f>
      </x:c>
    </x:row>
    <x:row r="276">
      <x:c r="A276" t="n">
        <x:f>'Ubicaciones'!A264</x:f>
        <x:v>0</x:v>
      </x:c>
      <x:c r="B276" t="str">
        <x:f>IF(A276="","",IF(COUNTIF('Indicadores'!$A$2:$A$501,A276)=0,"FALTA","OK"))</x:f>
      </x:c>
      <x:c r="C276" t="str">
        <x:f>IF(A276="","",IF(COUNTIF('Ubicaciones'!$A$2:$A$501,A276)&gt;1,"DUPLICADO","OK"))</x:f>
      </x:c>
    </x:row>
    <x:row r="277">
      <x:c r="A277" t="n">
        <x:f>'Ubicaciones'!A265</x:f>
        <x:v>0</x:v>
      </x:c>
      <x:c r="B277" t="str">
        <x:f>IF(A277="","",IF(COUNTIF('Indicadores'!$A$2:$A$501,A277)=0,"FALTA","OK"))</x:f>
      </x:c>
      <x:c r="C277" t="str">
        <x:f>IF(A277="","",IF(COUNTIF('Ubicaciones'!$A$2:$A$501,A277)&gt;1,"DUPLICADO","OK"))</x:f>
      </x:c>
    </x:row>
    <x:row r="278">
      <x:c r="A278" t="n">
        <x:f>'Ubicaciones'!A266</x:f>
        <x:v>0</x:v>
      </x:c>
      <x:c r="B278" t="str">
        <x:f>IF(A278="","",IF(COUNTIF('Indicadores'!$A$2:$A$501,A278)=0,"FALTA","OK"))</x:f>
      </x:c>
      <x:c r="C278" t="str">
        <x:f>IF(A278="","",IF(COUNTIF('Ubicaciones'!$A$2:$A$501,A278)&gt;1,"DUPLICADO","OK"))</x:f>
      </x:c>
    </x:row>
    <x:row r="279">
      <x:c r="A279" t="n">
        <x:f>'Ubicaciones'!A267</x:f>
        <x:v>0</x:v>
      </x:c>
      <x:c r="B279" t="str">
        <x:f>IF(A279="","",IF(COUNTIF('Indicadores'!$A$2:$A$501,A279)=0,"FALTA","OK"))</x:f>
      </x:c>
      <x:c r="C279" t="str">
        <x:f>IF(A279="","",IF(COUNTIF('Ubicaciones'!$A$2:$A$501,A279)&gt;1,"DUPLICADO","OK"))</x:f>
      </x:c>
    </x:row>
    <x:row r="280">
      <x:c r="A280" t="n">
        <x:f>'Ubicaciones'!A268</x:f>
        <x:v>0</x:v>
      </x:c>
      <x:c r="B280" t="str">
        <x:f>IF(A280="","",IF(COUNTIF('Indicadores'!$A$2:$A$501,A280)=0,"FALTA","OK"))</x:f>
      </x:c>
      <x:c r="C280" t="str">
        <x:f>IF(A280="","",IF(COUNTIF('Ubicaciones'!$A$2:$A$501,A280)&gt;1,"DUPLICADO","OK"))</x:f>
      </x:c>
    </x:row>
    <x:row r="281">
      <x:c r="A281" t="n">
        <x:f>'Ubicaciones'!A269</x:f>
        <x:v>0</x:v>
      </x:c>
      <x:c r="B281" t="str">
        <x:f>IF(A281="","",IF(COUNTIF('Indicadores'!$A$2:$A$501,A281)=0,"FALTA","OK"))</x:f>
      </x:c>
      <x:c r="C281" t="str">
        <x:f>IF(A281="","",IF(COUNTIF('Ubicaciones'!$A$2:$A$501,A281)&gt;1,"DUPLICADO","OK"))</x:f>
      </x:c>
    </x:row>
    <x:row r="282">
      <x:c r="A282" t="n">
        <x:f>'Ubicaciones'!A270</x:f>
        <x:v>0</x:v>
      </x:c>
      <x:c r="B282" t="str">
        <x:f>IF(A282="","",IF(COUNTIF('Indicadores'!$A$2:$A$501,A282)=0,"FALTA","OK"))</x:f>
      </x:c>
      <x:c r="C282" t="str">
        <x:f>IF(A282="","",IF(COUNTIF('Ubicaciones'!$A$2:$A$501,A282)&gt;1,"DUPLICADO","OK"))</x:f>
      </x:c>
    </x:row>
    <x:row r="283">
      <x:c r="A283" t="n">
        <x:f>'Ubicaciones'!A271</x:f>
        <x:v>0</x:v>
      </x:c>
      <x:c r="B283" t="str">
        <x:f>IF(A283="","",IF(COUNTIF('Indicadores'!$A$2:$A$501,A283)=0,"FALTA","OK"))</x:f>
      </x:c>
      <x:c r="C283" t="str">
        <x:f>IF(A283="","",IF(COUNTIF('Ubicaciones'!$A$2:$A$501,A283)&gt;1,"DUPLICADO","OK"))</x:f>
      </x:c>
    </x:row>
    <x:row r="284">
      <x:c r="A284" t="n">
        <x:f>'Ubicaciones'!A272</x:f>
        <x:v>0</x:v>
      </x:c>
      <x:c r="B284" t="str">
        <x:f>IF(A284="","",IF(COUNTIF('Indicadores'!$A$2:$A$501,A284)=0,"FALTA","OK"))</x:f>
      </x:c>
      <x:c r="C284" t="str">
        <x:f>IF(A284="","",IF(COUNTIF('Ubicaciones'!$A$2:$A$501,A284)&gt;1,"DUPLICADO","OK"))</x:f>
      </x:c>
    </x:row>
    <x:row r="285">
      <x:c r="A285" t="n">
        <x:f>'Ubicaciones'!A273</x:f>
        <x:v>0</x:v>
      </x:c>
      <x:c r="B285" t="str">
        <x:f>IF(A285="","",IF(COUNTIF('Indicadores'!$A$2:$A$501,A285)=0,"FALTA","OK"))</x:f>
      </x:c>
      <x:c r="C285" t="str">
        <x:f>IF(A285="","",IF(COUNTIF('Ubicaciones'!$A$2:$A$501,A285)&gt;1,"DUPLICADO","OK"))</x:f>
      </x:c>
    </x:row>
    <x:row r="286">
      <x:c r="A286" t="n">
        <x:f>'Ubicaciones'!A274</x:f>
        <x:v>0</x:v>
      </x:c>
      <x:c r="B286" t="str">
        <x:f>IF(A286="","",IF(COUNTIF('Indicadores'!$A$2:$A$501,A286)=0,"FALTA","OK"))</x:f>
      </x:c>
      <x:c r="C286" t="str">
        <x:f>IF(A286="","",IF(COUNTIF('Ubicaciones'!$A$2:$A$501,A286)&gt;1,"DUPLICADO","OK"))</x:f>
      </x:c>
    </x:row>
    <x:row r="287">
      <x:c r="A287" t="n">
        <x:f>'Ubicaciones'!A275</x:f>
        <x:v>0</x:v>
      </x:c>
      <x:c r="B287" t="str">
        <x:f>IF(A287="","",IF(COUNTIF('Indicadores'!$A$2:$A$501,A287)=0,"FALTA","OK"))</x:f>
      </x:c>
      <x:c r="C287" t="str">
        <x:f>IF(A287="","",IF(COUNTIF('Ubicaciones'!$A$2:$A$501,A287)&gt;1,"DUPLICADO","OK"))</x:f>
      </x:c>
    </x:row>
    <x:row r="288">
      <x:c r="A288" t="n">
        <x:f>'Ubicaciones'!A276</x:f>
        <x:v>0</x:v>
      </x:c>
      <x:c r="B288" t="str">
        <x:f>IF(A288="","",IF(COUNTIF('Indicadores'!$A$2:$A$501,A288)=0,"FALTA","OK"))</x:f>
      </x:c>
      <x:c r="C288" t="str">
        <x:f>IF(A288="","",IF(COUNTIF('Ubicaciones'!$A$2:$A$501,A288)&gt;1,"DUPLICADO","OK"))</x:f>
      </x:c>
    </x:row>
    <x:row r="289">
      <x:c r="A289" t="n">
        <x:f>'Ubicaciones'!A277</x:f>
        <x:v>0</x:v>
      </x:c>
      <x:c r="B289" t="str">
        <x:f>IF(A289="","",IF(COUNTIF('Indicadores'!$A$2:$A$501,A289)=0,"FALTA","OK"))</x:f>
      </x:c>
      <x:c r="C289" t="str">
        <x:f>IF(A289="","",IF(COUNTIF('Ubicaciones'!$A$2:$A$501,A289)&gt;1,"DUPLICADO","OK"))</x:f>
      </x:c>
    </x:row>
    <x:row r="290">
      <x:c r="A290" t="n">
        <x:f>'Ubicaciones'!A278</x:f>
        <x:v>0</x:v>
      </x:c>
      <x:c r="B290" t="str">
        <x:f>IF(A290="","",IF(COUNTIF('Indicadores'!$A$2:$A$501,A290)=0,"FALTA","OK"))</x:f>
      </x:c>
      <x:c r="C290" t="str">
        <x:f>IF(A290="","",IF(COUNTIF('Ubicaciones'!$A$2:$A$501,A290)&gt;1,"DUPLICADO","OK"))</x:f>
      </x:c>
    </x:row>
    <x:row r="291">
      <x:c r="A291" t="n">
        <x:f>'Ubicaciones'!A279</x:f>
        <x:v>0</x:v>
      </x:c>
      <x:c r="B291" t="str">
        <x:f>IF(A291="","",IF(COUNTIF('Indicadores'!$A$2:$A$501,A291)=0,"FALTA","OK"))</x:f>
      </x:c>
      <x:c r="C291" t="str">
        <x:f>IF(A291="","",IF(COUNTIF('Ubicaciones'!$A$2:$A$501,A291)&gt;1,"DUPLICADO","OK"))</x:f>
      </x:c>
    </x:row>
    <x:row r="292">
      <x:c r="A292" t="n">
        <x:f>'Ubicaciones'!A280</x:f>
        <x:v>0</x:v>
      </x:c>
      <x:c r="B292" t="str">
        <x:f>IF(A292="","",IF(COUNTIF('Indicadores'!$A$2:$A$501,A292)=0,"FALTA","OK"))</x:f>
      </x:c>
      <x:c r="C292" t="str">
        <x:f>IF(A292="","",IF(COUNTIF('Ubicaciones'!$A$2:$A$501,A292)&gt;1,"DUPLICADO","OK"))</x:f>
      </x:c>
    </x:row>
    <x:row r="293">
      <x:c r="A293" t="n">
        <x:f>'Ubicaciones'!A281</x:f>
        <x:v>0</x:v>
      </x:c>
      <x:c r="B293" t="str">
        <x:f>IF(A293="","",IF(COUNTIF('Indicadores'!$A$2:$A$501,A293)=0,"FALTA","OK"))</x:f>
      </x:c>
      <x:c r="C293" t="str">
        <x:f>IF(A293="","",IF(COUNTIF('Ubicaciones'!$A$2:$A$501,A293)&gt;1,"DUPLICADO","OK"))</x:f>
      </x:c>
    </x:row>
    <x:row r="294">
      <x:c r="A294" t="n">
        <x:f>'Ubicaciones'!A282</x:f>
        <x:v>0</x:v>
      </x:c>
      <x:c r="B294" t="str">
        <x:f>IF(A294="","",IF(COUNTIF('Indicadores'!$A$2:$A$501,A294)=0,"FALTA","OK"))</x:f>
      </x:c>
      <x:c r="C294" t="str">
        <x:f>IF(A294="","",IF(COUNTIF('Ubicaciones'!$A$2:$A$501,A294)&gt;1,"DUPLICADO","OK"))</x:f>
      </x:c>
    </x:row>
    <x:row r="295">
      <x:c r="A295" t="n">
        <x:f>'Ubicaciones'!A283</x:f>
        <x:v>0</x:v>
      </x:c>
      <x:c r="B295" t="str">
        <x:f>IF(A295="","",IF(COUNTIF('Indicadores'!$A$2:$A$501,A295)=0,"FALTA","OK"))</x:f>
      </x:c>
      <x:c r="C295" t="str">
        <x:f>IF(A295="","",IF(COUNTIF('Ubicaciones'!$A$2:$A$501,A295)&gt;1,"DUPLICADO","OK"))</x:f>
      </x:c>
    </x:row>
    <x:row r="296">
      <x:c r="A296" t="n">
        <x:f>'Ubicaciones'!A284</x:f>
        <x:v>0</x:v>
      </x:c>
      <x:c r="B296" t="str">
        <x:f>IF(A296="","",IF(COUNTIF('Indicadores'!$A$2:$A$501,A296)=0,"FALTA","OK"))</x:f>
      </x:c>
      <x:c r="C296" t="str">
        <x:f>IF(A296="","",IF(COUNTIF('Ubicaciones'!$A$2:$A$501,A296)&gt;1,"DUPLICADO","OK"))</x:f>
      </x:c>
    </x:row>
    <x:row r="297">
      <x:c r="A297" t="n">
        <x:f>'Ubicaciones'!A285</x:f>
        <x:v>0</x:v>
      </x:c>
      <x:c r="B297" t="str">
        <x:f>IF(A297="","",IF(COUNTIF('Indicadores'!$A$2:$A$501,A297)=0,"FALTA","OK"))</x:f>
      </x:c>
      <x:c r="C297" t="str">
        <x:f>IF(A297="","",IF(COUNTIF('Ubicaciones'!$A$2:$A$501,A297)&gt;1,"DUPLICADO","OK"))</x:f>
      </x:c>
    </x:row>
    <x:row r="298">
      <x:c r="A298" t="n">
        <x:f>'Ubicaciones'!A286</x:f>
        <x:v>0</x:v>
      </x:c>
      <x:c r="B298" t="str">
        <x:f>IF(A298="","",IF(COUNTIF('Indicadores'!$A$2:$A$501,A298)=0,"FALTA","OK"))</x:f>
      </x:c>
      <x:c r="C298" t="str">
        <x:f>IF(A298="","",IF(COUNTIF('Ubicaciones'!$A$2:$A$501,A298)&gt;1,"DUPLICADO","OK"))</x:f>
      </x:c>
    </x:row>
    <x:row r="299">
      <x:c r="A299" t="n">
        <x:f>'Ubicaciones'!A287</x:f>
        <x:v>0</x:v>
      </x:c>
      <x:c r="B299" t="str">
        <x:f>IF(A299="","",IF(COUNTIF('Indicadores'!$A$2:$A$501,A299)=0,"FALTA","OK"))</x:f>
      </x:c>
      <x:c r="C299" t="str">
        <x:f>IF(A299="","",IF(COUNTIF('Ubicaciones'!$A$2:$A$501,A299)&gt;1,"DUPLICADO","OK"))</x:f>
      </x:c>
    </x:row>
    <x:row r="300">
      <x:c r="A300" t="n">
        <x:f>'Ubicaciones'!A288</x:f>
        <x:v>0</x:v>
      </x:c>
      <x:c r="B300" t="str">
        <x:f>IF(A300="","",IF(COUNTIF('Indicadores'!$A$2:$A$501,A300)=0,"FALTA","OK"))</x:f>
      </x:c>
      <x:c r="C300" t="str">
        <x:f>IF(A300="","",IF(COUNTIF('Ubicaciones'!$A$2:$A$501,A300)&gt;1,"DUPLICADO","OK"))</x:f>
      </x:c>
    </x:row>
    <x:row r="301">
      <x:c r="A301" t="n">
        <x:f>'Ubicaciones'!A289</x:f>
        <x:v>0</x:v>
      </x:c>
      <x:c r="B301" t="str">
        <x:f>IF(A301="","",IF(COUNTIF('Indicadores'!$A$2:$A$501,A301)=0,"FALTA","OK"))</x:f>
      </x:c>
      <x:c r="C301" t="str">
        <x:f>IF(A301="","",IF(COUNTIF('Ubicaciones'!$A$2:$A$501,A301)&gt;1,"DUPLICADO","OK"))</x:f>
      </x:c>
    </x:row>
    <x:row r="302">
      <x:c r="A302" t="n">
        <x:f>'Ubicaciones'!A290</x:f>
        <x:v>0</x:v>
      </x:c>
      <x:c r="B302" t="str">
        <x:f>IF(A302="","",IF(COUNTIF('Indicadores'!$A$2:$A$501,A302)=0,"FALTA","OK"))</x:f>
      </x:c>
      <x:c r="C302" t="str">
        <x:f>IF(A302="","",IF(COUNTIF('Ubicaciones'!$A$2:$A$501,A302)&gt;1,"DUPLICADO","OK"))</x:f>
      </x:c>
    </x:row>
    <x:row r="303">
      <x:c r="A303" t="n">
        <x:f>'Ubicaciones'!A291</x:f>
        <x:v>0</x:v>
      </x:c>
      <x:c r="B303" t="str">
        <x:f>IF(A303="","",IF(COUNTIF('Indicadores'!$A$2:$A$501,A303)=0,"FALTA","OK"))</x:f>
      </x:c>
      <x:c r="C303" t="str">
        <x:f>IF(A303="","",IF(COUNTIF('Ubicaciones'!$A$2:$A$501,A303)&gt;1,"DUPLICADO","OK"))</x:f>
      </x:c>
    </x:row>
    <x:row r="304">
      <x:c r="A304" t="n">
        <x:f>'Ubicaciones'!A292</x:f>
        <x:v>0</x:v>
      </x:c>
      <x:c r="B304" t="str">
        <x:f>IF(A304="","",IF(COUNTIF('Indicadores'!$A$2:$A$501,A304)=0,"FALTA","OK"))</x:f>
      </x:c>
      <x:c r="C304" t="str">
        <x:f>IF(A304="","",IF(COUNTIF('Ubicaciones'!$A$2:$A$501,A304)&gt;1,"DUPLICADO","OK"))</x:f>
      </x:c>
    </x:row>
    <x:row r="305">
      <x:c r="A305" t="n">
        <x:f>'Ubicaciones'!A293</x:f>
        <x:v>0</x:v>
      </x:c>
      <x:c r="B305" t="str">
        <x:f>IF(A305="","",IF(COUNTIF('Indicadores'!$A$2:$A$501,A305)=0,"FALTA","OK"))</x:f>
      </x:c>
      <x:c r="C305" t="str">
        <x:f>IF(A305="","",IF(COUNTIF('Ubicaciones'!$A$2:$A$501,A305)&gt;1,"DUPLICADO","OK"))</x:f>
      </x:c>
    </x:row>
    <x:row r="306">
      <x:c r="A306" t="n">
        <x:f>'Ubicaciones'!A294</x:f>
        <x:v>0</x:v>
      </x:c>
      <x:c r="B306" t="str">
        <x:f>IF(A306="","",IF(COUNTIF('Indicadores'!$A$2:$A$501,A306)=0,"FALTA","OK"))</x:f>
      </x:c>
      <x:c r="C306" t="str">
        <x:f>IF(A306="","",IF(COUNTIF('Ubicaciones'!$A$2:$A$501,A306)&gt;1,"DUPLICADO","OK"))</x:f>
      </x:c>
    </x:row>
    <x:row r="307">
      <x:c r="A307" t="n">
        <x:f>'Ubicaciones'!A295</x:f>
        <x:v>0</x:v>
      </x:c>
      <x:c r="B307" t="str">
        <x:f>IF(A307="","",IF(COUNTIF('Indicadores'!$A$2:$A$501,A307)=0,"FALTA","OK"))</x:f>
      </x:c>
      <x:c r="C307" t="str">
        <x:f>IF(A307="","",IF(COUNTIF('Ubicaciones'!$A$2:$A$501,A307)&gt;1,"DUPLICADO","OK"))</x:f>
      </x:c>
    </x:row>
    <x:row r="308">
      <x:c r="A308" t="n">
        <x:f>'Ubicaciones'!A296</x:f>
        <x:v>0</x:v>
      </x:c>
      <x:c r="B308" t="str">
        <x:f>IF(A308="","",IF(COUNTIF('Indicadores'!$A$2:$A$501,A308)=0,"FALTA","OK"))</x:f>
      </x:c>
      <x:c r="C308" t="str">
        <x:f>IF(A308="","",IF(COUNTIF('Ubicaciones'!$A$2:$A$501,A308)&gt;1,"DUPLICADO","OK"))</x:f>
      </x:c>
    </x:row>
    <x:row r="309">
      <x:c r="A309" t="n">
        <x:f>'Ubicaciones'!A297</x:f>
        <x:v>0</x:v>
      </x:c>
      <x:c r="B309" t="str">
        <x:f>IF(A309="","",IF(COUNTIF('Indicadores'!$A$2:$A$501,A309)=0,"FALTA","OK"))</x:f>
      </x:c>
      <x:c r="C309" t="str">
        <x:f>IF(A309="","",IF(COUNTIF('Ubicaciones'!$A$2:$A$501,A309)&gt;1,"DUPLICADO","OK"))</x:f>
      </x:c>
    </x:row>
    <x:row r="310">
      <x:c r="A310" t="n">
        <x:f>'Ubicaciones'!A298</x:f>
        <x:v>0</x:v>
      </x:c>
      <x:c r="B310" t="str">
        <x:f>IF(A310="","",IF(COUNTIF('Indicadores'!$A$2:$A$501,A310)=0,"FALTA","OK"))</x:f>
      </x:c>
      <x:c r="C310" t="str">
        <x:f>IF(A310="","",IF(COUNTIF('Ubicaciones'!$A$2:$A$501,A310)&gt;1,"DUPLICADO","OK"))</x:f>
      </x:c>
    </x:row>
    <x:row r="311">
      <x:c r="A311" t="n">
        <x:f>'Ubicaciones'!A299</x:f>
        <x:v>0</x:v>
      </x:c>
      <x:c r="B311" t="str">
        <x:f>IF(A311="","",IF(COUNTIF('Indicadores'!$A$2:$A$501,A311)=0,"FALTA","OK"))</x:f>
      </x:c>
      <x:c r="C311" t="str">
        <x:f>IF(A311="","",IF(COUNTIF('Ubicaciones'!$A$2:$A$501,A311)&gt;1,"DUPLICADO","OK"))</x:f>
      </x:c>
    </x:row>
    <x:row r="312">
      <x:c r="A312" t="n">
        <x:f>'Ubicaciones'!A300</x:f>
        <x:v>0</x:v>
      </x:c>
      <x:c r="B312" t="str">
        <x:f>IF(A312="","",IF(COUNTIF('Indicadores'!$A$2:$A$501,A312)=0,"FALTA","OK"))</x:f>
      </x:c>
      <x:c r="C312" t="str">
        <x:f>IF(A312="","",IF(COUNTIF('Ubicaciones'!$A$2:$A$501,A312)&gt;1,"DUPLICADO","OK"))</x:f>
      </x:c>
    </x:row>
    <x:row r="313">
      <x:c r="A313" t="n">
        <x:f>'Ubicaciones'!A301</x:f>
        <x:v>0</x:v>
      </x:c>
      <x:c r="B313" t="str">
        <x:f>IF(A313="","",IF(COUNTIF('Indicadores'!$A$2:$A$501,A313)=0,"FALTA","OK"))</x:f>
      </x:c>
      <x:c r="C313" t="str">
        <x:f>IF(A313="","",IF(COUNTIF('Ubicaciones'!$A$2:$A$501,A313)&gt;1,"DUPLICADO","OK"))</x:f>
      </x:c>
    </x:row>
    <x:row r="314">
      <x:c r="A314" t="n">
        <x:f>'Ubicaciones'!A302</x:f>
        <x:v>0</x:v>
      </x:c>
      <x:c r="B314" t="str">
        <x:f>IF(A314="","",IF(COUNTIF('Indicadores'!$A$2:$A$501,A314)=0,"FALTA","OK"))</x:f>
      </x:c>
      <x:c r="C314" t="str">
        <x:f>IF(A314="","",IF(COUNTIF('Ubicaciones'!$A$2:$A$501,A314)&gt;1,"DUPLICADO","OK"))</x:f>
      </x:c>
    </x:row>
    <x:row r="315">
      <x:c r="A315" t="n">
        <x:f>'Ubicaciones'!A303</x:f>
        <x:v>0</x:v>
      </x:c>
      <x:c r="B315" t="str">
        <x:f>IF(A315="","",IF(COUNTIF('Indicadores'!$A$2:$A$501,A315)=0,"FALTA","OK"))</x:f>
      </x:c>
      <x:c r="C315" t="str">
        <x:f>IF(A315="","",IF(COUNTIF('Ubicaciones'!$A$2:$A$501,A315)&gt;1,"DUPLICADO","OK"))</x:f>
      </x:c>
    </x:row>
    <x:row r="316">
      <x:c r="A316" t="n">
        <x:f>'Ubicaciones'!A304</x:f>
        <x:v>0</x:v>
      </x:c>
      <x:c r="B316" t="str">
        <x:f>IF(A316="","",IF(COUNTIF('Indicadores'!$A$2:$A$501,A316)=0,"FALTA","OK"))</x:f>
      </x:c>
      <x:c r="C316" t="str">
        <x:f>IF(A316="","",IF(COUNTIF('Ubicaciones'!$A$2:$A$501,A316)&gt;1,"DUPLICADO","OK"))</x:f>
      </x:c>
    </x:row>
    <x:row r="317">
      <x:c r="A317" t="n">
        <x:f>'Ubicaciones'!A305</x:f>
        <x:v>0</x:v>
      </x:c>
      <x:c r="B317" t="str">
        <x:f>IF(A317="","",IF(COUNTIF('Indicadores'!$A$2:$A$501,A317)=0,"FALTA","OK"))</x:f>
      </x:c>
      <x:c r="C317" t="str">
        <x:f>IF(A317="","",IF(COUNTIF('Ubicaciones'!$A$2:$A$501,A317)&gt;1,"DUPLICADO","OK"))</x:f>
      </x:c>
    </x:row>
    <x:row r="318">
      <x:c r="A318" t="n">
        <x:f>'Ubicaciones'!A306</x:f>
        <x:v>0</x:v>
      </x:c>
      <x:c r="B318" t="str">
        <x:f>IF(A318="","",IF(COUNTIF('Indicadores'!$A$2:$A$501,A318)=0,"FALTA","OK"))</x:f>
      </x:c>
      <x:c r="C318" t="str">
        <x:f>IF(A318="","",IF(COUNTIF('Ubicaciones'!$A$2:$A$501,A318)&gt;1,"DUPLICADO","OK"))</x:f>
      </x:c>
    </x:row>
    <x:row r="319">
      <x:c r="A319" t="n">
        <x:f>'Ubicaciones'!A307</x:f>
        <x:v>0</x:v>
      </x:c>
      <x:c r="B319" t="str">
        <x:f>IF(A319="","",IF(COUNTIF('Indicadores'!$A$2:$A$501,A319)=0,"FALTA","OK"))</x:f>
      </x:c>
      <x:c r="C319" t="str">
        <x:f>IF(A319="","",IF(COUNTIF('Ubicaciones'!$A$2:$A$501,A319)&gt;1,"DUPLICADO","OK"))</x:f>
      </x:c>
    </x:row>
    <x:row r="320">
      <x:c r="A320" t="n">
        <x:f>'Ubicaciones'!A308</x:f>
        <x:v>0</x:v>
      </x:c>
      <x:c r="B320" t="str">
        <x:f>IF(A320="","",IF(COUNTIF('Indicadores'!$A$2:$A$501,A320)=0,"FALTA","OK"))</x:f>
      </x:c>
      <x:c r="C320" t="str">
        <x:f>IF(A320="","",IF(COUNTIF('Ubicaciones'!$A$2:$A$501,A320)&gt;1,"DUPLICADO","OK"))</x:f>
      </x:c>
    </x:row>
    <x:row r="321">
      <x:c r="A321" t="n">
        <x:f>'Ubicaciones'!A309</x:f>
        <x:v>0</x:v>
      </x:c>
      <x:c r="B321" t="str">
        <x:f>IF(A321="","",IF(COUNTIF('Indicadores'!$A$2:$A$501,A321)=0,"FALTA","OK"))</x:f>
      </x:c>
      <x:c r="C321" t="str">
        <x:f>IF(A321="","",IF(COUNTIF('Ubicaciones'!$A$2:$A$501,A321)&gt;1,"DUPLICADO","OK"))</x:f>
      </x:c>
    </x:row>
    <x:row r="322">
      <x:c r="A322" t="n">
        <x:f>'Ubicaciones'!A310</x:f>
        <x:v>0</x:v>
      </x:c>
      <x:c r="B322" t="str">
        <x:f>IF(A322="","",IF(COUNTIF('Indicadores'!$A$2:$A$501,A322)=0,"FALTA","OK"))</x:f>
      </x:c>
      <x:c r="C322" t="str">
        <x:f>IF(A322="","",IF(COUNTIF('Ubicaciones'!$A$2:$A$501,A322)&gt;1,"DUPLICADO","OK"))</x:f>
      </x:c>
    </x:row>
    <x:row r="323">
      <x:c r="A323" t="n">
        <x:f>'Ubicaciones'!A311</x:f>
        <x:v>0</x:v>
      </x:c>
      <x:c r="B323" t="str">
        <x:f>IF(A323="","",IF(COUNTIF('Indicadores'!$A$2:$A$501,A323)=0,"FALTA","OK"))</x:f>
      </x:c>
      <x:c r="C323" t="str">
        <x:f>IF(A323="","",IF(COUNTIF('Ubicaciones'!$A$2:$A$501,A323)&gt;1,"DUPLICADO","OK"))</x:f>
      </x:c>
    </x:row>
    <x:row r="324">
      <x:c r="A324" t="n">
        <x:f>'Ubicaciones'!A312</x:f>
        <x:v>0</x:v>
      </x:c>
      <x:c r="B324" t="str">
        <x:f>IF(A324="","",IF(COUNTIF('Indicadores'!$A$2:$A$501,A324)=0,"FALTA","OK"))</x:f>
      </x:c>
      <x:c r="C324" t="str">
        <x:f>IF(A324="","",IF(COUNTIF('Ubicaciones'!$A$2:$A$501,A324)&gt;1,"DUPLICADO","OK"))</x:f>
      </x:c>
    </x:row>
    <x:row r="325">
      <x:c r="A325" t="n">
        <x:f>'Ubicaciones'!A313</x:f>
        <x:v>0</x:v>
      </x:c>
      <x:c r="B325" t="str">
        <x:f>IF(A325="","",IF(COUNTIF('Indicadores'!$A$2:$A$501,A325)=0,"FALTA","OK"))</x:f>
      </x:c>
      <x:c r="C325" t="str">
        <x:f>IF(A325="","",IF(COUNTIF('Ubicaciones'!$A$2:$A$501,A325)&gt;1,"DUPLICADO","OK"))</x:f>
      </x:c>
    </x:row>
    <x:row r="326">
      <x:c r="A326" t="n">
        <x:f>'Ubicaciones'!A314</x:f>
        <x:v>0</x:v>
      </x:c>
      <x:c r="B326" t="str">
        <x:f>IF(A326="","",IF(COUNTIF('Indicadores'!$A$2:$A$501,A326)=0,"FALTA","OK"))</x:f>
      </x:c>
      <x:c r="C326" t="str">
        <x:f>IF(A326="","",IF(COUNTIF('Ubicaciones'!$A$2:$A$501,A326)&gt;1,"DUPLICADO","OK"))</x:f>
      </x:c>
    </x:row>
    <x:row r="327">
      <x:c r="A327" t="n">
        <x:f>'Ubicaciones'!A315</x:f>
        <x:v>0</x:v>
      </x:c>
      <x:c r="B327" t="str">
        <x:f>IF(A327="","",IF(COUNTIF('Indicadores'!$A$2:$A$501,A327)=0,"FALTA","OK"))</x:f>
      </x:c>
      <x:c r="C327" t="str">
        <x:f>IF(A327="","",IF(COUNTIF('Ubicaciones'!$A$2:$A$501,A327)&gt;1,"DUPLICADO","OK"))</x:f>
      </x:c>
    </x:row>
    <x:row r="328">
      <x:c r="A328" t="n">
        <x:f>'Ubicaciones'!A316</x:f>
        <x:v>0</x:v>
      </x:c>
      <x:c r="B328" t="str">
        <x:f>IF(A328="","",IF(COUNTIF('Indicadores'!$A$2:$A$501,A328)=0,"FALTA","OK"))</x:f>
      </x:c>
      <x:c r="C328" t="str">
        <x:f>IF(A328="","",IF(COUNTIF('Ubicaciones'!$A$2:$A$501,A328)&gt;1,"DUPLICADO","OK"))</x:f>
      </x:c>
    </x:row>
    <x:row r="329">
      <x:c r="A329" t="n">
        <x:f>'Ubicaciones'!A317</x:f>
        <x:v>0</x:v>
      </x:c>
      <x:c r="B329" t="str">
        <x:f>IF(A329="","",IF(COUNTIF('Indicadores'!$A$2:$A$501,A329)=0,"FALTA","OK"))</x:f>
      </x:c>
      <x:c r="C329" t="str">
        <x:f>IF(A329="","",IF(COUNTIF('Ubicaciones'!$A$2:$A$501,A329)&gt;1,"DUPLICADO","OK"))</x:f>
      </x:c>
    </x:row>
    <x:row r="330">
      <x:c r="A330" t="n">
        <x:f>'Ubicaciones'!A318</x:f>
        <x:v>0</x:v>
      </x:c>
      <x:c r="B330" t="str">
        <x:f>IF(A330="","",IF(COUNTIF('Indicadores'!$A$2:$A$501,A330)=0,"FALTA","OK"))</x:f>
      </x:c>
      <x:c r="C330" t="str">
        <x:f>IF(A330="","",IF(COUNTIF('Ubicaciones'!$A$2:$A$501,A330)&gt;1,"DUPLICADO","OK"))</x:f>
      </x:c>
    </x:row>
    <x:row r="331">
      <x:c r="A331" t="n">
        <x:f>'Ubicaciones'!A319</x:f>
        <x:v>0</x:v>
      </x:c>
      <x:c r="B331" t="str">
        <x:f>IF(A331="","",IF(COUNTIF('Indicadores'!$A$2:$A$501,A331)=0,"FALTA","OK"))</x:f>
      </x:c>
      <x:c r="C331" t="str">
        <x:f>IF(A331="","",IF(COUNTIF('Ubicaciones'!$A$2:$A$501,A331)&gt;1,"DUPLICADO","OK"))</x:f>
      </x:c>
    </x:row>
    <x:row r="332">
      <x:c r="A332" t="n">
        <x:f>'Ubicaciones'!A320</x:f>
        <x:v>0</x:v>
      </x:c>
      <x:c r="B332" t="str">
        <x:f>IF(A332="","",IF(COUNTIF('Indicadores'!$A$2:$A$501,A332)=0,"FALTA","OK"))</x:f>
      </x:c>
      <x:c r="C332" t="str">
        <x:f>IF(A332="","",IF(COUNTIF('Ubicaciones'!$A$2:$A$501,A332)&gt;1,"DUPLICADO","OK"))</x:f>
      </x:c>
    </x:row>
    <x:row r="333">
      <x:c r="A333" t="n">
        <x:f>'Ubicaciones'!A321</x:f>
        <x:v>0</x:v>
      </x:c>
      <x:c r="B333" t="str">
        <x:f>IF(A333="","",IF(COUNTIF('Indicadores'!$A$2:$A$501,A333)=0,"FALTA","OK"))</x:f>
      </x:c>
      <x:c r="C333" t="str">
        <x:f>IF(A333="","",IF(COUNTIF('Ubicaciones'!$A$2:$A$501,A333)&gt;1,"DUPLICADO","OK"))</x:f>
      </x:c>
    </x:row>
    <x:row r="334">
      <x:c r="A334" t="n">
        <x:f>'Ubicaciones'!A322</x:f>
        <x:v>0</x:v>
      </x:c>
      <x:c r="B334" t="str">
        <x:f>IF(A334="","",IF(COUNTIF('Indicadores'!$A$2:$A$501,A334)=0,"FALTA","OK"))</x:f>
      </x:c>
      <x:c r="C334" t="str">
        <x:f>IF(A334="","",IF(COUNTIF('Ubicaciones'!$A$2:$A$501,A334)&gt;1,"DUPLICADO","OK"))</x:f>
      </x:c>
    </x:row>
    <x:row r="335">
      <x:c r="A335" t="n">
        <x:f>'Ubicaciones'!A323</x:f>
        <x:v>0</x:v>
      </x:c>
      <x:c r="B335" t="str">
        <x:f>IF(A335="","",IF(COUNTIF('Indicadores'!$A$2:$A$501,A335)=0,"FALTA","OK"))</x:f>
      </x:c>
      <x:c r="C335" t="str">
        <x:f>IF(A335="","",IF(COUNTIF('Ubicaciones'!$A$2:$A$501,A335)&gt;1,"DUPLICADO","OK"))</x:f>
      </x:c>
    </x:row>
    <x:row r="336">
      <x:c r="A336" t="n">
        <x:f>'Ubicaciones'!A324</x:f>
        <x:v>0</x:v>
      </x:c>
      <x:c r="B336" t="str">
        <x:f>IF(A336="","",IF(COUNTIF('Indicadores'!$A$2:$A$501,A336)=0,"FALTA","OK"))</x:f>
      </x:c>
      <x:c r="C336" t="str">
        <x:f>IF(A336="","",IF(COUNTIF('Ubicaciones'!$A$2:$A$501,A336)&gt;1,"DUPLICADO","OK"))</x:f>
      </x:c>
    </x:row>
    <x:row r="337">
      <x:c r="A337" t="n">
        <x:f>'Ubicaciones'!A325</x:f>
        <x:v>0</x:v>
      </x:c>
      <x:c r="B337" t="str">
        <x:f>IF(A337="","",IF(COUNTIF('Indicadores'!$A$2:$A$501,A337)=0,"FALTA","OK"))</x:f>
      </x:c>
      <x:c r="C337" t="str">
        <x:f>IF(A337="","",IF(COUNTIF('Ubicaciones'!$A$2:$A$501,A337)&gt;1,"DUPLICADO","OK"))</x:f>
      </x:c>
    </x:row>
    <x:row r="338">
      <x:c r="A338" t="n">
        <x:f>'Ubicaciones'!A326</x:f>
        <x:v>0</x:v>
      </x:c>
      <x:c r="B338" t="str">
        <x:f>IF(A338="","",IF(COUNTIF('Indicadores'!$A$2:$A$501,A338)=0,"FALTA","OK"))</x:f>
      </x:c>
      <x:c r="C338" t="str">
        <x:f>IF(A338="","",IF(COUNTIF('Ubicaciones'!$A$2:$A$501,A338)&gt;1,"DUPLICADO","OK"))</x:f>
      </x:c>
    </x:row>
    <x:row r="339">
      <x:c r="A339" t="n">
        <x:f>'Ubicaciones'!A327</x:f>
        <x:v>0</x:v>
      </x:c>
      <x:c r="B339" t="str">
        <x:f>IF(A339="","",IF(COUNTIF('Indicadores'!$A$2:$A$501,A339)=0,"FALTA","OK"))</x:f>
      </x:c>
      <x:c r="C339" t="str">
        <x:f>IF(A339="","",IF(COUNTIF('Ubicaciones'!$A$2:$A$501,A339)&gt;1,"DUPLICADO","OK"))</x:f>
      </x:c>
    </x:row>
    <x:row r="340">
      <x:c r="A340" t="n">
        <x:f>'Ubicaciones'!A328</x:f>
        <x:v>0</x:v>
      </x:c>
      <x:c r="B340" t="str">
        <x:f>IF(A340="","",IF(COUNTIF('Indicadores'!$A$2:$A$501,A340)=0,"FALTA","OK"))</x:f>
      </x:c>
      <x:c r="C340" t="str">
        <x:f>IF(A340="","",IF(COUNTIF('Ubicaciones'!$A$2:$A$501,A340)&gt;1,"DUPLICADO","OK"))</x:f>
      </x:c>
    </x:row>
    <x:row r="341">
      <x:c r="A341" t="n">
        <x:f>'Ubicaciones'!A329</x:f>
        <x:v>0</x:v>
      </x:c>
      <x:c r="B341" t="str">
        <x:f>IF(A341="","",IF(COUNTIF('Indicadores'!$A$2:$A$501,A341)=0,"FALTA","OK"))</x:f>
      </x:c>
      <x:c r="C341" t="str">
        <x:f>IF(A341="","",IF(COUNTIF('Ubicaciones'!$A$2:$A$501,A341)&gt;1,"DUPLICADO","OK"))</x:f>
      </x:c>
    </x:row>
    <x:row r="342">
      <x:c r="A342" t="n">
        <x:f>'Ubicaciones'!A330</x:f>
        <x:v>0</x:v>
      </x:c>
      <x:c r="B342" t="str">
        <x:f>IF(A342="","",IF(COUNTIF('Indicadores'!$A$2:$A$501,A342)=0,"FALTA","OK"))</x:f>
      </x:c>
      <x:c r="C342" t="str">
        <x:f>IF(A342="","",IF(COUNTIF('Ubicaciones'!$A$2:$A$501,A342)&gt;1,"DUPLICADO","OK"))</x:f>
      </x:c>
    </x:row>
    <x:row r="343">
      <x:c r="A343" t="n">
        <x:f>'Ubicaciones'!A331</x:f>
        <x:v>0</x:v>
      </x:c>
      <x:c r="B343" t="str">
        <x:f>IF(A343="","",IF(COUNTIF('Indicadores'!$A$2:$A$501,A343)=0,"FALTA","OK"))</x:f>
      </x:c>
      <x:c r="C343" t="str">
        <x:f>IF(A343="","",IF(COUNTIF('Ubicaciones'!$A$2:$A$501,A343)&gt;1,"DUPLICADO","OK"))</x:f>
      </x:c>
    </x:row>
    <x:row r="344">
      <x:c r="A344" t="n">
        <x:f>'Ubicaciones'!A332</x:f>
        <x:v>0</x:v>
      </x:c>
      <x:c r="B344" t="str">
        <x:f>IF(A344="","",IF(COUNTIF('Indicadores'!$A$2:$A$501,A344)=0,"FALTA","OK"))</x:f>
      </x:c>
      <x:c r="C344" t="str">
        <x:f>IF(A344="","",IF(COUNTIF('Ubicaciones'!$A$2:$A$501,A344)&gt;1,"DUPLICADO","OK"))</x:f>
      </x:c>
    </x:row>
    <x:row r="345">
      <x:c r="A345" t="n">
        <x:f>'Ubicaciones'!A333</x:f>
        <x:v>0</x:v>
      </x:c>
      <x:c r="B345" t="str">
        <x:f>IF(A345="","",IF(COUNTIF('Indicadores'!$A$2:$A$501,A345)=0,"FALTA","OK"))</x:f>
      </x:c>
      <x:c r="C345" t="str">
        <x:f>IF(A345="","",IF(COUNTIF('Ubicaciones'!$A$2:$A$501,A345)&gt;1,"DUPLICADO","OK"))</x:f>
      </x:c>
    </x:row>
    <x:row r="346">
      <x:c r="A346" t="n">
        <x:f>'Ubicaciones'!A334</x:f>
        <x:v>0</x:v>
      </x:c>
      <x:c r="B346" t="str">
        <x:f>IF(A346="","",IF(COUNTIF('Indicadores'!$A$2:$A$501,A346)=0,"FALTA","OK"))</x:f>
      </x:c>
      <x:c r="C346" t="str">
        <x:f>IF(A346="","",IF(COUNTIF('Ubicaciones'!$A$2:$A$501,A346)&gt;1,"DUPLICADO","OK"))</x:f>
      </x:c>
    </x:row>
    <x:row r="347">
      <x:c r="A347" t="n">
        <x:f>'Ubicaciones'!A335</x:f>
        <x:v>0</x:v>
      </x:c>
      <x:c r="B347" t="str">
        <x:f>IF(A347="","",IF(COUNTIF('Indicadores'!$A$2:$A$501,A347)=0,"FALTA","OK"))</x:f>
      </x:c>
      <x:c r="C347" t="str">
        <x:f>IF(A347="","",IF(COUNTIF('Ubicaciones'!$A$2:$A$501,A347)&gt;1,"DUPLICADO","OK"))</x:f>
      </x:c>
    </x:row>
    <x:row r="348">
      <x:c r="A348" t="n">
        <x:f>'Ubicaciones'!A336</x:f>
        <x:v>0</x:v>
      </x:c>
      <x:c r="B348" t="str">
        <x:f>IF(A348="","",IF(COUNTIF('Indicadores'!$A$2:$A$501,A348)=0,"FALTA","OK"))</x:f>
      </x:c>
      <x:c r="C348" t="str">
        <x:f>IF(A348="","",IF(COUNTIF('Ubicaciones'!$A$2:$A$501,A348)&gt;1,"DUPLICADO","OK"))</x:f>
      </x:c>
    </x:row>
    <x:row r="349">
      <x:c r="A349" t="n">
        <x:f>'Ubicaciones'!A337</x:f>
        <x:v>0</x:v>
      </x:c>
      <x:c r="B349" t="str">
        <x:f>IF(A349="","",IF(COUNTIF('Indicadores'!$A$2:$A$501,A349)=0,"FALTA","OK"))</x:f>
      </x:c>
      <x:c r="C349" t="str">
        <x:f>IF(A349="","",IF(COUNTIF('Ubicaciones'!$A$2:$A$501,A349)&gt;1,"DUPLICADO","OK"))</x:f>
      </x:c>
    </x:row>
    <x:row r="350">
      <x:c r="A350" t="n">
        <x:f>'Ubicaciones'!A338</x:f>
        <x:v>0</x:v>
      </x:c>
      <x:c r="B350" t="str">
        <x:f>IF(A350="","",IF(COUNTIF('Indicadores'!$A$2:$A$501,A350)=0,"FALTA","OK"))</x:f>
      </x:c>
      <x:c r="C350" t="str">
        <x:f>IF(A350="","",IF(COUNTIF('Ubicaciones'!$A$2:$A$501,A350)&gt;1,"DUPLICADO","OK"))</x:f>
      </x:c>
    </x:row>
    <x:row r="351">
      <x:c r="A351" t="n">
        <x:f>'Ubicaciones'!A339</x:f>
        <x:v>0</x:v>
      </x:c>
      <x:c r="B351" t="str">
        <x:f>IF(A351="","",IF(COUNTIF('Indicadores'!$A$2:$A$501,A351)=0,"FALTA","OK"))</x:f>
      </x:c>
      <x:c r="C351" t="str">
        <x:f>IF(A351="","",IF(COUNTIF('Ubicaciones'!$A$2:$A$501,A351)&gt;1,"DUPLICADO","OK"))</x:f>
      </x:c>
    </x:row>
    <x:row r="352">
      <x:c r="A352" t="n">
        <x:f>'Ubicaciones'!A340</x:f>
        <x:v>0</x:v>
      </x:c>
      <x:c r="B352" t="str">
        <x:f>IF(A352="","",IF(COUNTIF('Indicadores'!$A$2:$A$501,A352)=0,"FALTA","OK"))</x:f>
      </x:c>
      <x:c r="C352" t="str">
        <x:f>IF(A352="","",IF(COUNTIF('Ubicaciones'!$A$2:$A$501,A352)&gt;1,"DUPLICADO","OK"))</x:f>
      </x:c>
    </x:row>
    <x:row r="353">
      <x:c r="A353" t="n">
        <x:f>'Ubicaciones'!A341</x:f>
        <x:v>0</x:v>
      </x:c>
      <x:c r="B353" t="str">
        <x:f>IF(A353="","",IF(COUNTIF('Indicadores'!$A$2:$A$501,A353)=0,"FALTA","OK"))</x:f>
      </x:c>
      <x:c r="C353" t="str">
        <x:f>IF(A353="","",IF(COUNTIF('Ubicaciones'!$A$2:$A$501,A353)&gt;1,"DUPLICADO","OK"))</x:f>
      </x:c>
    </x:row>
    <x:row r="354">
      <x:c r="A354" t="n">
        <x:f>'Ubicaciones'!A342</x:f>
        <x:v>0</x:v>
      </x:c>
      <x:c r="B354" t="str">
        <x:f>IF(A354="","",IF(COUNTIF('Indicadores'!$A$2:$A$501,A354)=0,"FALTA","OK"))</x:f>
      </x:c>
      <x:c r="C354" t="str">
        <x:f>IF(A354="","",IF(COUNTIF('Ubicaciones'!$A$2:$A$501,A354)&gt;1,"DUPLICADO","OK"))</x:f>
      </x:c>
    </x:row>
    <x:row r="355">
      <x:c r="A355" t="n">
        <x:f>'Ubicaciones'!A343</x:f>
        <x:v>0</x:v>
      </x:c>
      <x:c r="B355" t="str">
        <x:f>IF(A355="","",IF(COUNTIF('Indicadores'!$A$2:$A$501,A355)=0,"FALTA","OK"))</x:f>
      </x:c>
      <x:c r="C355" t="str">
        <x:f>IF(A355="","",IF(COUNTIF('Ubicaciones'!$A$2:$A$501,A355)&gt;1,"DUPLICADO","OK"))</x:f>
      </x:c>
    </x:row>
    <x:row r="356">
      <x:c r="A356" t="n">
        <x:f>'Ubicaciones'!A344</x:f>
        <x:v>0</x:v>
      </x:c>
      <x:c r="B356" t="str">
        <x:f>IF(A356="","",IF(COUNTIF('Indicadores'!$A$2:$A$501,A356)=0,"FALTA","OK"))</x:f>
      </x:c>
      <x:c r="C356" t="str">
        <x:f>IF(A356="","",IF(COUNTIF('Ubicaciones'!$A$2:$A$501,A356)&gt;1,"DUPLICADO","OK"))</x:f>
      </x:c>
    </x:row>
    <x:row r="357">
      <x:c r="A357" t="n">
        <x:f>'Ubicaciones'!A345</x:f>
        <x:v>0</x:v>
      </x:c>
      <x:c r="B357" t="str">
        <x:f>IF(A357="","",IF(COUNTIF('Indicadores'!$A$2:$A$501,A357)=0,"FALTA","OK"))</x:f>
      </x:c>
      <x:c r="C357" t="str">
        <x:f>IF(A357="","",IF(COUNTIF('Ubicaciones'!$A$2:$A$501,A357)&gt;1,"DUPLICADO","OK"))</x:f>
      </x:c>
    </x:row>
    <x:row r="358">
      <x:c r="A358" t="n">
        <x:f>'Ubicaciones'!A346</x:f>
        <x:v>0</x:v>
      </x:c>
      <x:c r="B358" t="str">
        <x:f>IF(A358="","",IF(COUNTIF('Indicadores'!$A$2:$A$501,A358)=0,"FALTA","OK"))</x:f>
      </x:c>
      <x:c r="C358" t="str">
        <x:f>IF(A358="","",IF(COUNTIF('Ubicaciones'!$A$2:$A$501,A358)&gt;1,"DUPLICADO","OK"))</x:f>
      </x:c>
    </x:row>
    <x:row r="359">
      <x:c r="A359" t="n">
        <x:f>'Ubicaciones'!A347</x:f>
        <x:v>0</x:v>
      </x:c>
      <x:c r="B359" t="str">
        <x:f>IF(A359="","",IF(COUNTIF('Indicadores'!$A$2:$A$501,A359)=0,"FALTA","OK"))</x:f>
      </x:c>
      <x:c r="C359" t="str">
        <x:f>IF(A359="","",IF(COUNTIF('Ubicaciones'!$A$2:$A$501,A359)&gt;1,"DUPLICADO","OK"))</x:f>
      </x:c>
    </x:row>
    <x:row r="360">
      <x:c r="A360" t="n">
        <x:f>'Ubicaciones'!A348</x:f>
        <x:v>0</x:v>
      </x:c>
      <x:c r="B360" t="str">
        <x:f>IF(A360="","",IF(COUNTIF('Indicadores'!$A$2:$A$501,A360)=0,"FALTA","OK"))</x:f>
      </x:c>
      <x:c r="C360" t="str">
        <x:f>IF(A360="","",IF(COUNTIF('Ubicaciones'!$A$2:$A$501,A360)&gt;1,"DUPLICADO","OK"))</x:f>
      </x:c>
    </x:row>
    <x:row r="361">
      <x:c r="A361" t="n">
        <x:f>'Ubicaciones'!A349</x:f>
        <x:v>0</x:v>
      </x:c>
      <x:c r="B361" t="str">
        <x:f>IF(A361="","",IF(COUNTIF('Indicadores'!$A$2:$A$501,A361)=0,"FALTA","OK"))</x:f>
      </x:c>
      <x:c r="C361" t="str">
        <x:f>IF(A361="","",IF(COUNTIF('Ubicaciones'!$A$2:$A$501,A361)&gt;1,"DUPLICADO","OK"))</x:f>
      </x:c>
    </x:row>
    <x:row r="362">
      <x:c r="A362" t="n">
        <x:f>'Ubicaciones'!A350</x:f>
        <x:v>0</x:v>
      </x:c>
      <x:c r="B362" t="str">
        <x:f>IF(A362="","",IF(COUNTIF('Indicadores'!$A$2:$A$501,A362)=0,"FALTA","OK"))</x:f>
      </x:c>
      <x:c r="C362" t="str">
        <x:f>IF(A362="","",IF(COUNTIF('Ubicaciones'!$A$2:$A$501,A362)&gt;1,"DUPLICADO","OK"))</x:f>
      </x:c>
    </x:row>
    <x:row r="363">
      <x:c r="A363" t="n">
        <x:f>'Ubicaciones'!A351</x:f>
        <x:v>0</x:v>
      </x:c>
      <x:c r="B363" t="str">
        <x:f>IF(A363="","",IF(COUNTIF('Indicadores'!$A$2:$A$501,A363)=0,"FALTA","OK"))</x:f>
      </x:c>
      <x:c r="C363" t="str">
        <x:f>IF(A363="","",IF(COUNTIF('Ubicaciones'!$A$2:$A$501,A363)&gt;1,"DUPLICADO","OK"))</x:f>
      </x:c>
    </x:row>
    <x:row r="364">
      <x:c r="A364" t="n">
        <x:f>'Ubicaciones'!A352</x:f>
        <x:v>0</x:v>
      </x:c>
      <x:c r="B364" t="str">
        <x:f>IF(A364="","",IF(COUNTIF('Indicadores'!$A$2:$A$501,A364)=0,"FALTA","OK"))</x:f>
      </x:c>
      <x:c r="C364" t="str">
        <x:f>IF(A364="","",IF(COUNTIF('Ubicaciones'!$A$2:$A$501,A364)&gt;1,"DUPLICADO","OK"))</x:f>
      </x:c>
    </x:row>
    <x:row r="365">
      <x:c r="A365" t="n">
        <x:f>'Ubicaciones'!A353</x:f>
        <x:v>0</x:v>
      </x:c>
      <x:c r="B365" t="str">
        <x:f>IF(A365="","",IF(COUNTIF('Indicadores'!$A$2:$A$501,A365)=0,"FALTA","OK"))</x:f>
      </x:c>
      <x:c r="C365" t="str">
        <x:f>IF(A365="","",IF(COUNTIF('Ubicaciones'!$A$2:$A$501,A365)&gt;1,"DUPLICADO","OK"))</x:f>
      </x:c>
    </x:row>
    <x:row r="366">
      <x:c r="A366" t="n">
        <x:f>'Ubicaciones'!A354</x:f>
        <x:v>0</x:v>
      </x:c>
      <x:c r="B366" t="str">
        <x:f>IF(A366="","",IF(COUNTIF('Indicadores'!$A$2:$A$501,A366)=0,"FALTA","OK"))</x:f>
      </x:c>
      <x:c r="C366" t="str">
        <x:f>IF(A366="","",IF(COUNTIF('Ubicaciones'!$A$2:$A$501,A366)&gt;1,"DUPLICADO","OK"))</x:f>
      </x:c>
    </x:row>
    <x:row r="367">
      <x:c r="A367" t="n">
        <x:f>'Ubicaciones'!A355</x:f>
        <x:v>0</x:v>
      </x:c>
      <x:c r="B367" t="str">
        <x:f>IF(A367="","",IF(COUNTIF('Indicadores'!$A$2:$A$501,A367)=0,"FALTA","OK"))</x:f>
      </x:c>
      <x:c r="C367" t="str">
        <x:f>IF(A367="","",IF(COUNTIF('Ubicaciones'!$A$2:$A$501,A367)&gt;1,"DUPLICADO","OK"))</x:f>
      </x:c>
    </x:row>
    <x:row r="368">
      <x:c r="A368" t="n">
        <x:f>'Ubicaciones'!A356</x:f>
        <x:v>0</x:v>
      </x:c>
      <x:c r="B368" t="str">
        <x:f>IF(A368="","",IF(COUNTIF('Indicadores'!$A$2:$A$501,A368)=0,"FALTA","OK"))</x:f>
      </x:c>
      <x:c r="C368" t="str">
        <x:f>IF(A368="","",IF(COUNTIF('Ubicaciones'!$A$2:$A$501,A368)&gt;1,"DUPLICADO","OK"))</x:f>
      </x:c>
    </x:row>
    <x:row r="369">
      <x:c r="A369" t="n">
        <x:f>'Ubicaciones'!A357</x:f>
        <x:v>0</x:v>
      </x:c>
      <x:c r="B369" t="str">
        <x:f>IF(A369="","",IF(COUNTIF('Indicadores'!$A$2:$A$501,A369)=0,"FALTA","OK"))</x:f>
      </x:c>
      <x:c r="C369" t="str">
        <x:f>IF(A369="","",IF(COUNTIF('Ubicaciones'!$A$2:$A$501,A369)&gt;1,"DUPLICADO","OK"))</x:f>
      </x:c>
    </x:row>
    <x:row r="370">
      <x:c r="A370" t="n">
        <x:f>'Ubicaciones'!A358</x:f>
        <x:v>0</x:v>
      </x:c>
      <x:c r="B370" t="str">
        <x:f>IF(A370="","",IF(COUNTIF('Indicadores'!$A$2:$A$501,A370)=0,"FALTA","OK"))</x:f>
      </x:c>
      <x:c r="C370" t="str">
        <x:f>IF(A370="","",IF(COUNTIF('Ubicaciones'!$A$2:$A$501,A370)&gt;1,"DUPLICADO","OK"))</x:f>
      </x:c>
    </x:row>
    <x:row r="371">
      <x:c r="A371" t="n">
        <x:f>'Ubicaciones'!A359</x:f>
        <x:v>0</x:v>
      </x:c>
      <x:c r="B371" t="str">
        <x:f>IF(A371="","",IF(COUNTIF('Indicadores'!$A$2:$A$501,A371)=0,"FALTA","OK"))</x:f>
      </x:c>
      <x:c r="C371" t="str">
        <x:f>IF(A371="","",IF(COUNTIF('Ubicaciones'!$A$2:$A$501,A371)&gt;1,"DUPLICADO","OK"))</x:f>
      </x:c>
    </x:row>
    <x:row r="372">
      <x:c r="A372" t="n">
        <x:f>'Ubicaciones'!A360</x:f>
        <x:v>0</x:v>
      </x:c>
      <x:c r="B372" t="str">
        <x:f>IF(A372="","",IF(COUNTIF('Indicadores'!$A$2:$A$501,A372)=0,"FALTA","OK"))</x:f>
      </x:c>
      <x:c r="C372" t="str">
        <x:f>IF(A372="","",IF(COUNTIF('Ubicaciones'!$A$2:$A$501,A372)&gt;1,"DUPLICADO","OK"))</x:f>
      </x:c>
    </x:row>
    <x:row r="373">
      <x:c r="A373" t="n">
        <x:f>'Ubicaciones'!A361</x:f>
        <x:v>0</x:v>
      </x:c>
      <x:c r="B373" t="str">
        <x:f>IF(A373="","",IF(COUNTIF('Indicadores'!$A$2:$A$501,A373)=0,"FALTA","OK"))</x:f>
      </x:c>
      <x:c r="C373" t="str">
        <x:f>IF(A373="","",IF(COUNTIF('Ubicaciones'!$A$2:$A$501,A373)&gt;1,"DUPLICADO","OK"))</x:f>
      </x:c>
    </x:row>
    <x:row r="374">
      <x:c r="A374" t="n">
        <x:f>'Ubicaciones'!A362</x:f>
        <x:v>0</x:v>
      </x:c>
      <x:c r="B374" t="str">
        <x:f>IF(A374="","",IF(COUNTIF('Indicadores'!$A$2:$A$501,A374)=0,"FALTA","OK"))</x:f>
      </x:c>
      <x:c r="C374" t="str">
        <x:f>IF(A374="","",IF(COUNTIF('Ubicaciones'!$A$2:$A$501,A374)&gt;1,"DUPLICADO","OK"))</x:f>
      </x:c>
    </x:row>
    <x:row r="375">
      <x:c r="A375" t="n">
        <x:f>'Ubicaciones'!A363</x:f>
        <x:v>0</x:v>
      </x:c>
      <x:c r="B375" t="str">
        <x:f>IF(A375="","",IF(COUNTIF('Indicadores'!$A$2:$A$501,A375)=0,"FALTA","OK"))</x:f>
      </x:c>
      <x:c r="C375" t="str">
        <x:f>IF(A375="","",IF(COUNTIF('Ubicaciones'!$A$2:$A$501,A375)&gt;1,"DUPLICADO","OK"))</x:f>
      </x:c>
    </x:row>
    <x:row r="376">
      <x:c r="A376" t="n">
        <x:f>'Ubicaciones'!A364</x:f>
        <x:v>0</x:v>
      </x:c>
      <x:c r="B376" t="str">
        <x:f>IF(A376="","",IF(COUNTIF('Indicadores'!$A$2:$A$501,A376)=0,"FALTA","OK"))</x:f>
      </x:c>
      <x:c r="C376" t="str">
        <x:f>IF(A376="","",IF(COUNTIF('Ubicaciones'!$A$2:$A$501,A376)&gt;1,"DUPLICADO","OK"))</x:f>
      </x:c>
    </x:row>
    <x:row r="377">
      <x:c r="A377" t="n">
        <x:f>'Ubicaciones'!A365</x:f>
        <x:v>0</x:v>
      </x:c>
      <x:c r="B377" t="str">
        <x:f>IF(A377="","",IF(COUNTIF('Indicadores'!$A$2:$A$501,A377)=0,"FALTA","OK"))</x:f>
      </x:c>
      <x:c r="C377" t="str">
        <x:f>IF(A377="","",IF(COUNTIF('Ubicaciones'!$A$2:$A$501,A377)&gt;1,"DUPLICADO","OK"))</x:f>
      </x:c>
    </x:row>
    <x:row r="378">
      <x:c r="A378" t="n">
        <x:f>'Ubicaciones'!A366</x:f>
        <x:v>0</x:v>
      </x:c>
      <x:c r="B378" t="str">
        <x:f>IF(A378="","",IF(COUNTIF('Indicadores'!$A$2:$A$501,A378)=0,"FALTA","OK"))</x:f>
      </x:c>
      <x:c r="C378" t="str">
        <x:f>IF(A378="","",IF(COUNTIF('Ubicaciones'!$A$2:$A$501,A378)&gt;1,"DUPLICADO","OK"))</x:f>
      </x:c>
    </x:row>
    <x:row r="379">
      <x:c r="A379" t="n">
        <x:f>'Ubicaciones'!A367</x:f>
        <x:v>0</x:v>
      </x:c>
      <x:c r="B379" t="str">
        <x:f>IF(A379="","",IF(COUNTIF('Indicadores'!$A$2:$A$501,A379)=0,"FALTA","OK"))</x:f>
      </x:c>
      <x:c r="C379" t="str">
        <x:f>IF(A379="","",IF(COUNTIF('Ubicaciones'!$A$2:$A$501,A379)&gt;1,"DUPLICADO","OK"))</x:f>
      </x:c>
    </x:row>
    <x:row r="380">
      <x:c r="A380" t="n">
        <x:f>'Ubicaciones'!A368</x:f>
        <x:v>0</x:v>
      </x:c>
      <x:c r="B380" t="str">
        <x:f>IF(A380="","",IF(COUNTIF('Indicadores'!$A$2:$A$501,A380)=0,"FALTA","OK"))</x:f>
      </x:c>
      <x:c r="C380" t="str">
        <x:f>IF(A380="","",IF(COUNTIF('Ubicaciones'!$A$2:$A$501,A380)&gt;1,"DUPLICADO","OK"))</x:f>
      </x:c>
    </x:row>
    <x:row r="381">
      <x:c r="A381" t="n">
        <x:f>'Ubicaciones'!A369</x:f>
        <x:v>0</x:v>
      </x:c>
      <x:c r="B381" t="str">
        <x:f>IF(A381="","",IF(COUNTIF('Indicadores'!$A$2:$A$501,A381)=0,"FALTA","OK"))</x:f>
      </x:c>
      <x:c r="C381" t="str">
        <x:f>IF(A381="","",IF(COUNTIF('Ubicaciones'!$A$2:$A$501,A381)&gt;1,"DUPLICADO","OK"))</x:f>
      </x:c>
    </x:row>
    <x:row r="382">
      <x:c r="A382" t="n">
        <x:f>'Ubicaciones'!A370</x:f>
        <x:v>0</x:v>
      </x:c>
      <x:c r="B382" t="str">
        <x:f>IF(A382="","",IF(COUNTIF('Indicadores'!$A$2:$A$501,A382)=0,"FALTA","OK"))</x:f>
      </x:c>
      <x:c r="C382" t="str">
        <x:f>IF(A382="","",IF(COUNTIF('Ubicaciones'!$A$2:$A$501,A382)&gt;1,"DUPLICADO","OK"))</x:f>
      </x:c>
    </x:row>
    <x:row r="383">
      <x:c r="A383" t="n">
        <x:f>'Ubicaciones'!A371</x:f>
        <x:v>0</x:v>
      </x:c>
      <x:c r="B383" t="str">
        <x:f>IF(A383="","",IF(COUNTIF('Indicadores'!$A$2:$A$501,A383)=0,"FALTA","OK"))</x:f>
      </x:c>
      <x:c r="C383" t="str">
        <x:f>IF(A383="","",IF(COUNTIF('Ubicaciones'!$A$2:$A$501,A383)&gt;1,"DUPLICADO","OK"))</x:f>
      </x:c>
    </x:row>
    <x:row r="384">
      <x:c r="A384" t="n">
        <x:f>'Ubicaciones'!A372</x:f>
        <x:v>0</x:v>
      </x:c>
      <x:c r="B384" t="str">
        <x:f>IF(A384="","",IF(COUNTIF('Indicadores'!$A$2:$A$501,A384)=0,"FALTA","OK"))</x:f>
      </x:c>
      <x:c r="C384" t="str">
        <x:f>IF(A384="","",IF(COUNTIF('Ubicaciones'!$A$2:$A$501,A384)&gt;1,"DUPLICADO","OK"))</x:f>
      </x:c>
    </x:row>
    <x:row r="385">
      <x:c r="A385" t="n">
        <x:f>'Ubicaciones'!A373</x:f>
        <x:v>0</x:v>
      </x:c>
      <x:c r="B385" t="str">
        <x:f>IF(A385="","",IF(COUNTIF('Indicadores'!$A$2:$A$501,A385)=0,"FALTA","OK"))</x:f>
      </x:c>
      <x:c r="C385" t="str">
        <x:f>IF(A385="","",IF(COUNTIF('Ubicaciones'!$A$2:$A$501,A385)&gt;1,"DUPLICADO","OK"))</x:f>
      </x:c>
    </x:row>
    <x:row r="386">
      <x:c r="A386" t="n">
        <x:f>'Ubicaciones'!A374</x:f>
        <x:v>0</x:v>
      </x:c>
      <x:c r="B386" t="str">
        <x:f>IF(A386="","",IF(COUNTIF('Indicadores'!$A$2:$A$501,A386)=0,"FALTA","OK"))</x:f>
      </x:c>
      <x:c r="C386" t="str">
        <x:f>IF(A386="","",IF(COUNTIF('Ubicaciones'!$A$2:$A$501,A386)&gt;1,"DUPLICADO","OK"))</x:f>
      </x:c>
    </x:row>
    <x:row r="387">
      <x:c r="A387" t="n">
        <x:f>'Ubicaciones'!A375</x:f>
        <x:v>0</x:v>
      </x:c>
      <x:c r="B387" t="str">
        <x:f>IF(A387="","",IF(COUNTIF('Indicadores'!$A$2:$A$501,A387)=0,"FALTA","OK"))</x:f>
      </x:c>
      <x:c r="C387" t="str">
        <x:f>IF(A387="","",IF(COUNTIF('Ubicaciones'!$A$2:$A$501,A387)&gt;1,"DUPLICADO","OK"))</x:f>
      </x:c>
    </x:row>
    <x:row r="388">
      <x:c r="A388" t="n">
        <x:f>'Ubicaciones'!A376</x:f>
        <x:v>0</x:v>
      </x:c>
      <x:c r="B388" t="str">
        <x:f>IF(A388="","",IF(COUNTIF('Indicadores'!$A$2:$A$501,A388)=0,"FALTA","OK"))</x:f>
      </x:c>
      <x:c r="C388" t="str">
        <x:f>IF(A388="","",IF(COUNTIF('Ubicaciones'!$A$2:$A$501,A388)&gt;1,"DUPLICADO","OK"))</x:f>
      </x:c>
    </x:row>
    <x:row r="389">
      <x:c r="A389" t="n">
        <x:f>'Ubicaciones'!A377</x:f>
        <x:v>0</x:v>
      </x:c>
      <x:c r="B389" t="str">
        <x:f>IF(A389="","",IF(COUNTIF('Indicadores'!$A$2:$A$501,A389)=0,"FALTA","OK"))</x:f>
      </x:c>
      <x:c r="C389" t="str">
        <x:f>IF(A389="","",IF(COUNTIF('Ubicaciones'!$A$2:$A$501,A389)&gt;1,"DUPLICADO","OK"))</x:f>
      </x:c>
    </x:row>
    <x:row r="390">
      <x:c r="A390" t="n">
        <x:f>'Ubicaciones'!A378</x:f>
        <x:v>0</x:v>
      </x:c>
      <x:c r="B390" t="str">
        <x:f>IF(A390="","",IF(COUNTIF('Indicadores'!$A$2:$A$501,A390)=0,"FALTA","OK"))</x:f>
      </x:c>
      <x:c r="C390" t="str">
        <x:f>IF(A390="","",IF(COUNTIF('Ubicaciones'!$A$2:$A$501,A390)&gt;1,"DUPLICADO","OK"))</x:f>
      </x:c>
    </x:row>
    <x:row r="391">
      <x:c r="A391" t="n">
        <x:f>'Ubicaciones'!A379</x:f>
        <x:v>0</x:v>
      </x:c>
      <x:c r="B391" t="str">
        <x:f>IF(A391="","",IF(COUNTIF('Indicadores'!$A$2:$A$501,A391)=0,"FALTA","OK"))</x:f>
      </x:c>
      <x:c r="C391" t="str">
        <x:f>IF(A391="","",IF(COUNTIF('Ubicaciones'!$A$2:$A$501,A391)&gt;1,"DUPLICADO","OK"))</x:f>
      </x:c>
    </x:row>
    <x:row r="392">
      <x:c r="A392" t="n">
        <x:f>'Ubicaciones'!A380</x:f>
        <x:v>0</x:v>
      </x:c>
      <x:c r="B392" t="str">
        <x:f>IF(A392="","",IF(COUNTIF('Indicadores'!$A$2:$A$501,A392)=0,"FALTA","OK"))</x:f>
      </x:c>
      <x:c r="C392" t="str">
        <x:f>IF(A392="","",IF(COUNTIF('Ubicaciones'!$A$2:$A$501,A392)&gt;1,"DUPLICADO","OK"))</x:f>
      </x:c>
    </x:row>
    <x:row r="393">
      <x:c r="A393" t="n">
        <x:f>'Ubicaciones'!A381</x:f>
        <x:v>0</x:v>
      </x:c>
      <x:c r="B393" t="str">
        <x:f>IF(A393="","",IF(COUNTIF('Indicadores'!$A$2:$A$501,A393)=0,"FALTA","OK"))</x:f>
      </x:c>
      <x:c r="C393" t="str">
        <x:f>IF(A393="","",IF(COUNTIF('Ubicaciones'!$A$2:$A$501,A393)&gt;1,"DUPLICADO","OK"))</x:f>
      </x:c>
    </x:row>
    <x:row r="394">
      <x:c r="A394" t="n">
        <x:f>'Ubicaciones'!A382</x:f>
        <x:v>0</x:v>
      </x:c>
      <x:c r="B394" t="str">
        <x:f>IF(A394="","",IF(COUNTIF('Indicadores'!$A$2:$A$501,A394)=0,"FALTA","OK"))</x:f>
      </x:c>
      <x:c r="C394" t="str">
        <x:f>IF(A394="","",IF(COUNTIF('Ubicaciones'!$A$2:$A$501,A394)&gt;1,"DUPLICADO","OK"))</x:f>
      </x:c>
    </x:row>
    <x:row r="395">
      <x:c r="A395" t="n">
        <x:f>'Ubicaciones'!A383</x:f>
        <x:v>0</x:v>
      </x:c>
      <x:c r="B395" t="str">
        <x:f>IF(A395="","",IF(COUNTIF('Indicadores'!$A$2:$A$501,A395)=0,"FALTA","OK"))</x:f>
      </x:c>
      <x:c r="C395" t="str">
        <x:f>IF(A395="","",IF(COUNTIF('Ubicaciones'!$A$2:$A$501,A395)&gt;1,"DUPLICADO","OK"))</x:f>
      </x:c>
    </x:row>
    <x:row r="396">
      <x:c r="A396" t="n">
        <x:f>'Ubicaciones'!A384</x:f>
        <x:v>0</x:v>
      </x:c>
      <x:c r="B396" t="str">
        <x:f>IF(A396="","",IF(COUNTIF('Indicadores'!$A$2:$A$501,A396)=0,"FALTA","OK"))</x:f>
      </x:c>
      <x:c r="C396" t="str">
        <x:f>IF(A396="","",IF(COUNTIF('Ubicaciones'!$A$2:$A$501,A396)&gt;1,"DUPLICADO","OK"))</x:f>
      </x:c>
    </x:row>
    <x:row r="397">
      <x:c r="A397" t="n">
        <x:f>'Ubicaciones'!A385</x:f>
        <x:v>0</x:v>
      </x:c>
      <x:c r="B397" t="str">
        <x:f>IF(A397="","",IF(COUNTIF('Indicadores'!$A$2:$A$501,A397)=0,"FALTA","OK"))</x:f>
      </x:c>
      <x:c r="C397" t="str">
        <x:f>IF(A397="","",IF(COUNTIF('Ubicaciones'!$A$2:$A$501,A397)&gt;1,"DUPLICADO","OK"))</x:f>
      </x:c>
    </x:row>
    <x:row r="398">
      <x:c r="A398" t="n">
        <x:f>'Ubicaciones'!A386</x:f>
        <x:v>0</x:v>
      </x:c>
      <x:c r="B398" t="str">
        <x:f>IF(A398="","",IF(COUNTIF('Indicadores'!$A$2:$A$501,A398)=0,"FALTA","OK"))</x:f>
      </x:c>
      <x:c r="C398" t="str">
        <x:f>IF(A398="","",IF(COUNTIF('Ubicaciones'!$A$2:$A$501,A398)&gt;1,"DUPLICADO","OK"))</x:f>
      </x:c>
    </x:row>
    <x:row r="399">
      <x:c r="A399" t="n">
        <x:f>'Ubicaciones'!A387</x:f>
        <x:v>0</x:v>
      </x:c>
      <x:c r="B399" t="str">
        <x:f>IF(A399="","",IF(COUNTIF('Indicadores'!$A$2:$A$501,A399)=0,"FALTA","OK"))</x:f>
      </x:c>
      <x:c r="C399" t="str">
        <x:f>IF(A399="","",IF(COUNTIF('Ubicaciones'!$A$2:$A$501,A399)&gt;1,"DUPLICADO","OK"))</x:f>
      </x:c>
    </x:row>
    <x:row r="400">
      <x:c r="A400" t="n">
        <x:f>'Ubicaciones'!A388</x:f>
        <x:v>0</x:v>
      </x:c>
      <x:c r="B400" t="str">
        <x:f>IF(A400="","",IF(COUNTIF('Indicadores'!$A$2:$A$501,A400)=0,"FALTA","OK"))</x:f>
      </x:c>
      <x:c r="C400" t="str">
        <x:f>IF(A400="","",IF(COUNTIF('Ubicaciones'!$A$2:$A$501,A400)&gt;1,"DUPLICADO","OK"))</x:f>
      </x:c>
    </x:row>
    <x:row r="401">
      <x:c r="A401" t="n">
        <x:f>'Ubicaciones'!A389</x:f>
        <x:v>0</x:v>
      </x:c>
      <x:c r="B401" t="str">
        <x:f>IF(A401="","",IF(COUNTIF('Indicadores'!$A$2:$A$501,A401)=0,"FALTA","OK"))</x:f>
      </x:c>
      <x:c r="C401" t="str">
        <x:f>IF(A401="","",IF(COUNTIF('Ubicaciones'!$A$2:$A$501,A401)&gt;1,"DUPLICADO","OK"))</x:f>
      </x:c>
    </x:row>
    <x:row r="402">
      <x:c r="A402" t="n">
        <x:f>'Ubicaciones'!A390</x:f>
        <x:v>0</x:v>
      </x:c>
      <x:c r="B402" t="str">
        <x:f>IF(A402="","",IF(COUNTIF('Indicadores'!$A$2:$A$501,A402)=0,"FALTA","OK"))</x:f>
      </x:c>
      <x:c r="C402" t="str">
        <x:f>IF(A402="","",IF(COUNTIF('Ubicaciones'!$A$2:$A$501,A402)&gt;1,"DUPLICADO","OK"))</x:f>
      </x:c>
    </x:row>
    <x:row r="403">
      <x:c r="A403" t="n">
        <x:f>'Ubicaciones'!A391</x:f>
        <x:v>0</x:v>
      </x:c>
      <x:c r="B403" t="str">
        <x:f>IF(A403="","",IF(COUNTIF('Indicadores'!$A$2:$A$501,A403)=0,"FALTA","OK"))</x:f>
      </x:c>
      <x:c r="C403" t="str">
        <x:f>IF(A403="","",IF(COUNTIF('Ubicaciones'!$A$2:$A$501,A403)&gt;1,"DUPLICADO","OK"))</x:f>
      </x:c>
    </x:row>
    <x:row r="404">
      <x:c r="A404" t="n">
        <x:f>'Ubicaciones'!A392</x:f>
        <x:v>0</x:v>
      </x:c>
      <x:c r="B404" t="str">
        <x:f>IF(A404="","",IF(COUNTIF('Indicadores'!$A$2:$A$501,A404)=0,"FALTA","OK"))</x:f>
      </x:c>
      <x:c r="C404" t="str">
        <x:f>IF(A404="","",IF(COUNTIF('Ubicaciones'!$A$2:$A$501,A404)&gt;1,"DUPLICADO","OK"))</x:f>
      </x:c>
    </x:row>
    <x:row r="405">
      <x:c r="A405" t="n">
        <x:f>'Ubicaciones'!A393</x:f>
        <x:v>0</x:v>
      </x:c>
      <x:c r="B405" t="str">
        <x:f>IF(A405="","",IF(COUNTIF('Indicadores'!$A$2:$A$501,A405)=0,"FALTA","OK"))</x:f>
      </x:c>
      <x:c r="C405" t="str">
        <x:f>IF(A405="","",IF(COUNTIF('Ubicaciones'!$A$2:$A$501,A405)&gt;1,"DUPLICADO","OK"))</x:f>
      </x:c>
    </x:row>
    <x:row r="406">
      <x:c r="A406" t="n">
        <x:f>'Ubicaciones'!A394</x:f>
        <x:v>0</x:v>
      </x:c>
      <x:c r="B406" t="str">
        <x:f>IF(A406="","",IF(COUNTIF('Indicadores'!$A$2:$A$501,A406)=0,"FALTA","OK"))</x:f>
      </x:c>
      <x:c r="C406" t="str">
        <x:f>IF(A406="","",IF(COUNTIF('Ubicaciones'!$A$2:$A$501,A406)&gt;1,"DUPLICADO","OK"))</x:f>
      </x:c>
    </x:row>
    <x:row r="407">
      <x:c r="A407" t="n">
        <x:f>'Ubicaciones'!A395</x:f>
        <x:v>0</x:v>
      </x:c>
      <x:c r="B407" t="str">
        <x:f>IF(A407="","",IF(COUNTIF('Indicadores'!$A$2:$A$501,A407)=0,"FALTA","OK"))</x:f>
      </x:c>
      <x:c r="C407" t="str">
        <x:f>IF(A407="","",IF(COUNTIF('Ubicaciones'!$A$2:$A$501,A407)&gt;1,"DUPLICADO","OK"))</x:f>
      </x:c>
    </x:row>
    <x:row r="408">
      <x:c r="A408" t="n">
        <x:f>'Ubicaciones'!A396</x:f>
        <x:v>0</x:v>
      </x:c>
      <x:c r="B408" t="str">
        <x:f>IF(A408="","",IF(COUNTIF('Indicadores'!$A$2:$A$501,A408)=0,"FALTA","OK"))</x:f>
      </x:c>
      <x:c r="C408" t="str">
        <x:f>IF(A408="","",IF(COUNTIF('Ubicaciones'!$A$2:$A$501,A408)&gt;1,"DUPLICADO","OK"))</x:f>
      </x:c>
    </x:row>
    <x:row r="409">
      <x:c r="A409" t="n">
        <x:f>'Ubicaciones'!A397</x:f>
        <x:v>0</x:v>
      </x:c>
      <x:c r="B409" t="str">
        <x:f>IF(A409="","",IF(COUNTIF('Indicadores'!$A$2:$A$501,A409)=0,"FALTA","OK"))</x:f>
      </x:c>
      <x:c r="C409" t="str">
        <x:f>IF(A409="","",IF(COUNTIF('Ubicaciones'!$A$2:$A$501,A409)&gt;1,"DUPLICADO","OK"))</x:f>
      </x:c>
    </x:row>
    <x:row r="410">
      <x:c r="A410" t="n">
        <x:f>'Ubicaciones'!A398</x:f>
        <x:v>0</x:v>
      </x:c>
      <x:c r="B410" t="str">
        <x:f>IF(A410="","",IF(COUNTIF('Indicadores'!$A$2:$A$501,A410)=0,"FALTA","OK"))</x:f>
      </x:c>
      <x:c r="C410" t="str">
        <x:f>IF(A410="","",IF(COUNTIF('Ubicaciones'!$A$2:$A$501,A410)&gt;1,"DUPLICADO","OK"))</x:f>
      </x:c>
    </x:row>
    <x:row r="411">
      <x:c r="A411" t="n">
        <x:f>'Ubicaciones'!A399</x:f>
        <x:v>0</x:v>
      </x:c>
      <x:c r="B411" t="str">
        <x:f>IF(A411="","",IF(COUNTIF('Indicadores'!$A$2:$A$501,A411)=0,"FALTA","OK"))</x:f>
      </x:c>
      <x:c r="C411" t="str">
        <x:f>IF(A411="","",IF(COUNTIF('Ubicaciones'!$A$2:$A$501,A411)&gt;1,"DUPLICADO","OK"))</x:f>
      </x:c>
    </x:row>
    <x:row r="412">
      <x:c r="A412" t="n">
        <x:f>'Ubicaciones'!A400</x:f>
        <x:v>0</x:v>
      </x:c>
      <x:c r="B412" t="str">
        <x:f>IF(A412="","",IF(COUNTIF('Indicadores'!$A$2:$A$501,A412)=0,"FALTA","OK"))</x:f>
      </x:c>
      <x:c r="C412" t="str">
        <x:f>IF(A412="","",IF(COUNTIF('Ubicaciones'!$A$2:$A$501,A412)&gt;1,"DUPLICADO","OK"))</x:f>
      </x:c>
    </x:row>
    <x:row r="413">
      <x:c r="A413" t="n">
        <x:f>'Ubicaciones'!A401</x:f>
        <x:v>0</x:v>
      </x:c>
      <x:c r="B413" t="str">
        <x:f>IF(A413="","",IF(COUNTIF('Indicadores'!$A$2:$A$501,A413)=0,"FALTA","OK"))</x:f>
      </x:c>
      <x:c r="C413" t="str">
        <x:f>IF(A413="","",IF(COUNTIF('Ubicaciones'!$A$2:$A$501,A413)&gt;1,"DUPLICADO","OK"))</x:f>
      </x:c>
    </x:row>
    <x:row r="414">
      <x:c r="A414" t="n">
        <x:f>'Ubicaciones'!A402</x:f>
        <x:v>0</x:v>
      </x:c>
      <x:c r="B414" t="str">
        <x:f>IF(A414="","",IF(COUNTIF('Indicadores'!$A$2:$A$501,A414)=0,"FALTA","OK"))</x:f>
      </x:c>
      <x:c r="C414" t="str">
        <x:f>IF(A414="","",IF(COUNTIF('Ubicaciones'!$A$2:$A$501,A414)&gt;1,"DUPLICADO","OK"))</x:f>
      </x:c>
    </x:row>
    <x:row r="415">
      <x:c r="A415" t="n">
        <x:f>'Ubicaciones'!A403</x:f>
        <x:v>0</x:v>
      </x:c>
      <x:c r="B415" t="str">
        <x:f>IF(A415="","",IF(COUNTIF('Indicadores'!$A$2:$A$501,A415)=0,"FALTA","OK"))</x:f>
      </x:c>
      <x:c r="C415" t="str">
        <x:f>IF(A415="","",IF(COUNTIF('Ubicaciones'!$A$2:$A$501,A415)&gt;1,"DUPLICADO","OK"))</x:f>
      </x:c>
    </x:row>
    <x:row r="416">
      <x:c r="A416" t="n">
        <x:f>'Ubicaciones'!A404</x:f>
        <x:v>0</x:v>
      </x:c>
      <x:c r="B416" t="str">
        <x:f>IF(A416="","",IF(COUNTIF('Indicadores'!$A$2:$A$501,A416)=0,"FALTA","OK"))</x:f>
      </x:c>
      <x:c r="C416" t="str">
        <x:f>IF(A416="","",IF(COUNTIF('Ubicaciones'!$A$2:$A$501,A416)&gt;1,"DUPLICADO","OK"))</x:f>
      </x:c>
    </x:row>
    <x:row r="417">
      <x:c r="A417" t="n">
        <x:f>'Ubicaciones'!A405</x:f>
        <x:v>0</x:v>
      </x:c>
      <x:c r="B417" t="str">
        <x:f>IF(A417="","",IF(COUNTIF('Indicadores'!$A$2:$A$501,A417)=0,"FALTA","OK"))</x:f>
      </x:c>
      <x:c r="C417" t="str">
        <x:f>IF(A417="","",IF(COUNTIF('Ubicaciones'!$A$2:$A$501,A417)&gt;1,"DUPLICADO","OK"))</x:f>
      </x:c>
    </x:row>
    <x:row r="418">
      <x:c r="A418" t="n">
        <x:f>'Ubicaciones'!A406</x:f>
        <x:v>0</x:v>
      </x:c>
      <x:c r="B418" t="str">
        <x:f>IF(A418="","",IF(COUNTIF('Indicadores'!$A$2:$A$501,A418)=0,"FALTA","OK"))</x:f>
      </x:c>
      <x:c r="C418" t="str">
        <x:f>IF(A418="","",IF(COUNTIF('Ubicaciones'!$A$2:$A$501,A418)&gt;1,"DUPLICADO","OK"))</x:f>
      </x:c>
    </x:row>
    <x:row r="419">
      <x:c r="A419" t="n">
        <x:f>'Ubicaciones'!A407</x:f>
        <x:v>0</x:v>
      </x:c>
      <x:c r="B419" t="str">
        <x:f>IF(A419="","",IF(COUNTIF('Indicadores'!$A$2:$A$501,A419)=0,"FALTA","OK"))</x:f>
      </x:c>
      <x:c r="C419" t="str">
        <x:f>IF(A419="","",IF(COUNTIF('Ubicaciones'!$A$2:$A$501,A419)&gt;1,"DUPLICADO","OK"))</x:f>
      </x:c>
    </x:row>
    <x:row r="420">
      <x:c r="A420" t="n">
        <x:f>'Ubicaciones'!A408</x:f>
        <x:v>0</x:v>
      </x:c>
      <x:c r="B420" t="str">
        <x:f>IF(A420="","",IF(COUNTIF('Indicadores'!$A$2:$A$501,A420)=0,"FALTA","OK"))</x:f>
      </x:c>
      <x:c r="C420" t="str">
        <x:f>IF(A420="","",IF(COUNTIF('Ubicaciones'!$A$2:$A$501,A420)&gt;1,"DUPLICADO","OK"))</x:f>
      </x:c>
    </x:row>
    <x:row r="421">
      <x:c r="A421" t="n">
        <x:f>'Ubicaciones'!A409</x:f>
        <x:v>0</x:v>
      </x:c>
      <x:c r="B421" t="str">
        <x:f>IF(A421="","",IF(COUNTIF('Indicadores'!$A$2:$A$501,A421)=0,"FALTA","OK"))</x:f>
      </x:c>
      <x:c r="C421" t="str">
        <x:f>IF(A421="","",IF(COUNTIF('Ubicaciones'!$A$2:$A$501,A421)&gt;1,"DUPLICADO","OK"))</x:f>
      </x:c>
    </x:row>
    <x:row r="422">
      <x:c r="A422" t="n">
        <x:f>'Ubicaciones'!A410</x:f>
        <x:v>0</x:v>
      </x:c>
      <x:c r="B422" t="str">
        <x:f>IF(A422="","",IF(COUNTIF('Indicadores'!$A$2:$A$501,A422)=0,"FALTA","OK"))</x:f>
      </x:c>
      <x:c r="C422" t="str">
        <x:f>IF(A422="","",IF(COUNTIF('Ubicaciones'!$A$2:$A$501,A422)&gt;1,"DUPLICADO","OK"))</x:f>
      </x:c>
    </x:row>
    <x:row r="423">
      <x:c r="A423" t="n">
        <x:f>'Ubicaciones'!A411</x:f>
        <x:v>0</x:v>
      </x:c>
      <x:c r="B423" t="str">
        <x:f>IF(A423="","",IF(COUNTIF('Indicadores'!$A$2:$A$501,A423)=0,"FALTA","OK"))</x:f>
      </x:c>
      <x:c r="C423" t="str">
        <x:f>IF(A423="","",IF(COUNTIF('Ubicaciones'!$A$2:$A$501,A423)&gt;1,"DUPLICADO","OK"))</x:f>
      </x:c>
    </x:row>
    <x:row r="424">
      <x:c r="A424" t="n">
        <x:f>'Ubicaciones'!A412</x:f>
        <x:v>0</x:v>
      </x:c>
      <x:c r="B424" t="str">
        <x:f>IF(A424="","",IF(COUNTIF('Indicadores'!$A$2:$A$501,A424)=0,"FALTA","OK"))</x:f>
      </x:c>
      <x:c r="C424" t="str">
        <x:f>IF(A424="","",IF(COUNTIF('Ubicaciones'!$A$2:$A$501,A424)&gt;1,"DUPLICADO","OK"))</x:f>
      </x:c>
    </x:row>
    <x:row r="425">
      <x:c r="A425" t="n">
        <x:f>'Ubicaciones'!A413</x:f>
        <x:v>0</x:v>
      </x:c>
      <x:c r="B425" t="str">
        <x:f>IF(A425="","",IF(COUNTIF('Indicadores'!$A$2:$A$501,A425)=0,"FALTA","OK"))</x:f>
      </x:c>
      <x:c r="C425" t="str">
        <x:f>IF(A425="","",IF(COUNTIF('Ubicaciones'!$A$2:$A$501,A425)&gt;1,"DUPLICADO","OK"))</x:f>
      </x:c>
    </x:row>
    <x:row r="426">
      <x:c r="A426" t="n">
        <x:f>'Ubicaciones'!A414</x:f>
        <x:v>0</x:v>
      </x:c>
      <x:c r="B426" t="str">
        <x:f>IF(A426="","",IF(COUNTIF('Indicadores'!$A$2:$A$501,A426)=0,"FALTA","OK"))</x:f>
      </x:c>
      <x:c r="C426" t="str">
        <x:f>IF(A426="","",IF(COUNTIF('Ubicaciones'!$A$2:$A$501,A426)&gt;1,"DUPLICADO","OK"))</x:f>
      </x:c>
    </x:row>
    <x:row r="427">
      <x:c r="A427" t="n">
        <x:f>'Ubicaciones'!A415</x:f>
        <x:v>0</x:v>
      </x:c>
      <x:c r="B427" t="str">
        <x:f>IF(A427="","",IF(COUNTIF('Indicadores'!$A$2:$A$501,A427)=0,"FALTA","OK"))</x:f>
      </x:c>
      <x:c r="C427" t="str">
        <x:f>IF(A427="","",IF(COUNTIF('Ubicaciones'!$A$2:$A$501,A427)&gt;1,"DUPLICADO","OK"))</x:f>
      </x:c>
    </x:row>
    <x:row r="428">
      <x:c r="A428" t="n">
        <x:f>'Ubicaciones'!A416</x:f>
        <x:v>0</x:v>
      </x:c>
      <x:c r="B428" t="str">
        <x:f>IF(A428="","",IF(COUNTIF('Indicadores'!$A$2:$A$501,A428)=0,"FALTA","OK"))</x:f>
      </x:c>
      <x:c r="C428" t="str">
        <x:f>IF(A428="","",IF(COUNTIF('Ubicaciones'!$A$2:$A$501,A428)&gt;1,"DUPLICADO","OK"))</x:f>
      </x:c>
    </x:row>
    <x:row r="429">
      <x:c r="A429" t="n">
        <x:f>'Ubicaciones'!A417</x:f>
        <x:v>0</x:v>
      </x:c>
      <x:c r="B429" t="str">
        <x:f>IF(A429="","",IF(COUNTIF('Indicadores'!$A$2:$A$501,A429)=0,"FALTA","OK"))</x:f>
      </x:c>
      <x:c r="C429" t="str">
        <x:f>IF(A429="","",IF(COUNTIF('Ubicaciones'!$A$2:$A$501,A429)&gt;1,"DUPLICADO","OK"))</x:f>
      </x:c>
    </x:row>
    <x:row r="430">
      <x:c r="A430" t="n">
        <x:f>'Ubicaciones'!A418</x:f>
        <x:v>0</x:v>
      </x:c>
      <x:c r="B430" t="str">
        <x:f>IF(A430="","",IF(COUNTIF('Indicadores'!$A$2:$A$501,A430)=0,"FALTA","OK"))</x:f>
      </x:c>
      <x:c r="C430" t="str">
        <x:f>IF(A430="","",IF(COUNTIF('Ubicaciones'!$A$2:$A$501,A430)&gt;1,"DUPLICADO","OK"))</x:f>
      </x:c>
    </x:row>
    <x:row r="431">
      <x:c r="A431" t="n">
        <x:f>'Ubicaciones'!A419</x:f>
        <x:v>0</x:v>
      </x:c>
      <x:c r="B431" t="str">
        <x:f>IF(A431="","",IF(COUNTIF('Indicadores'!$A$2:$A$501,A431)=0,"FALTA","OK"))</x:f>
      </x:c>
      <x:c r="C431" t="str">
        <x:f>IF(A431="","",IF(COUNTIF('Ubicaciones'!$A$2:$A$501,A431)&gt;1,"DUPLICADO","OK"))</x:f>
      </x:c>
    </x:row>
    <x:row r="432">
      <x:c r="A432" t="n">
        <x:f>'Ubicaciones'!A420</x:f>
        <x:v>0</x:v>
      </x:c>
      <x:c r="B432" t="str">
        <x:f>IF(A432="","",IF(COUNTIF('Indicadores'!$A$2:$A$501,A432)=0,"FALTA","OK"))</x:f>
      </x:c>
      <x:c r="C432" t="str">
        <x:f>IF(A432="","",IF(COUNTIF('Ubicaciones'!$A$2:$A$501,A432)&gt;1,"DUPLICADO","OK"))</x:f>
      </x:c>
    </x:row>
    <x:row r="433">
      <x:c r="A433" t="n">
        <x:f>'Ubicaciones'!A421</x:f>
        <x:v>0</x:v>
      </x:c>
      <x:c r="B433" t="str">
        <x:f>IF(A433="","",IF(COUNTIF('Indicadores'!$A$2:$A$501,A433)=0,"FALTA","OK"))</x:f>
      </x:c>
      <x:c r="C433" t="str">
        <x:f>IF(A433="","",IF(COUNTIF('Ubicaciones'!$A$2:$A$501,A433)&gt;1,"DUPLICADO","OK"))</x:f>
      </x:c>
    </x:row>
    <x:row r="434">
      <x:c r="A434" t="n">
        <x:f>'Ubicaciones'!A422</x:f>
        <x:v>0</x:v>
      </x:c>
      <x:c r="B434" t="str">
        <x:f>IF(A434="","",IF(COUNTIF('Indicadores'!$A$2:$A$501,A434)=0,"FALTA","OK"))</x:f>
      </x:c>
      <x:c r="C434" t="str">
        <x:f>IF(A434="","",IF(COUNTIF('Ubicaciones'!$A$2:$A$501,A434)&gt;1,"DUPLICADO","OK"))</x:f>
      </x:c>
    </x:row>
    <x:row r="435">
      <x:c r="A435" t="n">
        <x:f>'Ubicaciones'!A423</x:f>
        <x:v>0</x:v>
      </x:c>
      <x:c r="B435" t="str">
        <x:f>IF(A435="","",IF(COUNTIF('Indicadores'!$A$2:$A$501,A435)=0,"FALTA","OK"))</x:f>
      </x:c>
      <x:c r="C435" t="str">
        <x:f>IF(A435="","",IF(COUNTIF('Ubicaciones'!$A$2:$A$501,A435)&gt;1,"DUPLICADO","OK"))</x:f>
      </x:c>
    </x:row>
    <x:row r="436">
      <x:c r="A436" t="n">
        <x:f>'Ubicaciones'!A424</x:f>
        <x:v>0</x:v>
      </x:c>
      <x:c r="B436" t="str">
        <x:f>IF(A436="","",IF(COUNTIF('Indicadores'!$A$2:$A$501,A436)=0,"FALTA","OK"))</x:f>
      </x:c>
      <x:c r="C436" t="str">
        <x:f>IF(A436="","",IF(COUNTIF('Ubicaciones'!$A$2:$A$501,A436)&gt;1,"DUPLICADO","OK"))</x:f>
      </x:c>
    </x:row>
    <x:row r="437">
      <x:c r="A437" t="n">
        <x:f>'Ubicaciones'!A425</x:f>
        <x:v>0</x:v>
      </x:c>
      <x:c r="B437" t="str">
        <x:f>IF(A437="","",IF(COUNTIF('Indicadores'!$A$2:$A$501,A437)=0,"FALTA","OK"))</x:f>
      </x:c>
      <x:c r="C437" t="str">
        <x:f>IF(A437="","",IF(COUNTIF('Ubicaciones'!$A$2:$A$501,A437)&gt;1,"DUPLICADO","OK"))</x:f>
      </x:c>
    </x:row>
    <x:row r="438">
      <x:c r="A438" t="n">
        <x:f>'Ubicaciones'!A426</x:f>
        <x:v>0</x:v>
      </x:c>
      <x:c r="B438" t="str">
        <x:f>IF(A438="","",IF(COUNTIF('Indicadores'!$A$2:$A$501,A438)=0,"FALTA","OK"))</x:f>
      </x:c>
      <x:c r="C438" t="str">
        <x:f>IF(A438="","",IF(COUNTIF('Ubicaciones'!$A$2:$A$501,A438)&gt;1,"DUPLICADO","OK"))</x:f>
      </x:c>
    </x:row>
    <x:row r="439">
      <x:c r="A439" t="n">
        <x:f>'Ubicaciones'!A427</x:f>
        <x:v>0</x:v>
      </x:c>
      <x:c r="B439" t="str">
        <x:f>IF(A439="","",IF(COUNTIF('Indicadores'!$A$2:$A$501,A439)=0,"FALTA","OK"))</x:f>
      </x:c>
      <x:c r="C439" t="str">
        <x:f>IF(A439="","",IF(COUNTIF('Ubicaciones'!$A$2:$A$501,A439)&gt;1,"DUPLICADO","OK"))</x:f>
      </x:c>
    </x:row>
    <x:row r="440">
      <x:c r="A440" t="n">
        <x:f>'Ubicaciones'!A428</x:f>
        <x:v>0</x:v>
      </x:c>
      <x:c r="B440" t="str">
        <x:f>IF(A440="","",IF(COUNTIF('Indicadores'!$A$2:$A$501,A440)=0,"FALTA","OK"))</x:f>
      </x:c>
      <x:c r="C440" t="str">
        <x:f>IF(A440="","",IF(COUNTIF('Ubicaciones'!$A$2:$A$501,A440)&gt;1,"DUPLICADO","OK"))</x:f>
      </x:c>
    </x:row>
    <x:row r="441">
      <x:c r="A441" t="n">
        <x:f>'Ubicaciones'!A429</x:f>
        <x:v>0</x:v>
      </x:c>
      <x:c r="B441" t="str">
        <x:f>IF(A441="","",IF(COUNTIF('Indicadores'!$A$2:$A$501,A441)=0,"FALTA","OK"))</x:f>
      </x:c>
      <x:c r="C441" t="str">
        <x:f>IF(A441="","",IF(COUNTIF('Ubicaciones'!$A$2:$A$501,A441)&gt;1,"DUPLICADO","OK"))</x:f>
      </x:c>
    </x:row>
    <x:row r="442">
      <x:c r="A442" t="n">
        <x:f>'Ubicaciones'!A430</x:f>
        <x:v>0</x:v>
      </x:c>
      <x:c r="B442" t="str">
        <x:f>IF(A442="","",IF(COUNTIF('Indicadores'!$A$2:$A$501,A442)=0,"FALTA","OK"))</x:f>
      </x:c>
      <x:c r="C442" t="str">
        <x:f>IF(A442="","",IF(COUNTIF('Ubicaciones'!$A$2:$A$501,A442)&gt;1,"DUPLICADO","OK"))</x:f>
      </x:c>
    </x:row>
    <x:row r="443">
      <x:c r="A443" t="n">
        <x:f>'Ubicaciones'!A431</x:f>
        <x:v>0</x:v>
      </x:c>
      <x:c r="B443" t="str">
        <x:f>IF(A443="","",IF(COUNTIF('Indicadores'!$A$2:$A$501,A443)=0,"FALTA","OK"))</x:f>
      </x:c>
      <x:c r="C443" t="str">
        <x:f>IF(A443="","",IF(COUNTIF('Ubicaciones'!$A$2:$A$501,A443)&gt;1,"DUPLICADO","OK"))</x:f>
      </x:c>
    </x:row>
    <x:row r="444">
      <x:c r="A444" t="n">
        <x:f>'Ubicaciones'!A432</x:f>
        <x:v>0</x:v>
      </x:c>
      <x:c r="B444" t="str">
        <x:f>IF(A444="","",IF(COUNTIF('Indicadores'!$A$2:$A$501,A444)=0,"FALTA","OK"))</x:f>
      </x:c>
      <x:c r="C444" t="str">
        <x:f>IF(A444="","",IF(COUNTIF('Ubicaciones'!$A$2:$A$501,A444)&gt;1,"DUPLICADO","OK"))</x:f>
      </x:c>
    </x:row>
    <x:row r="445">
      <x:c r="A445" t="n">
        <x:f>'Ubicaciones'!A433</x:f>
        <x:v>0</x:v>
      </x:c>
      <x:c r="B445" t="str">
        <x:f>IF(A445="","",IF(COUNTIF('Indicadores'!$A$2:$A$501,A445)=0,"FALTA","OK"))</x:f>
      </x:c>
      <x:c r="C445" t="str">
        <x:f>IF(A445="","",IF(COUNTIF('Ubicaciones'!$A$2:$A$501,A445)&gt;1,"DUPLICADO","OK"))</x:f>
      </x:c>
    </x:row>
    <x:row r="446">
      <x:c r="A446" t="n">
        <x:f>'Ubicaciones'!A434</x:f>
        <x:v>0</x:v>
      </x:c>
      <x:c r="B446" t="str">
        <x:f>IF(A446="","",IF(COUNTIF('Indicadores'!$A$2:$A$501,A446)=0,"FALTA","OK"))</x:f>
      </x:c>
      <x:c r="C446" t="str">
        <x:f>IF(A446="","",IF(COUNTIF('Ubicaciones'!$A$2:$A$501,A446)&gt;1,"DUPLICADO","OK"))</x:f>
      </x:c>
    </x:row>
    <x:row r="447">
      <x:c r="A447" t="n">
        <x:f>'Ubicaciones'!A435</x:f>
        <x:v>0</x:v>
      </x:c>
      <x:c r="B447" t="str">
        <x:f>IF(A447="","",IF(COUNTIF('Indicadores'!$A$2:$A$501,A447)=0,"FALTA","OK"))</x:f>
      </x:c>
      <x:c r="C447" t="str">
        <x:f>IF(A447="","",IF(COUNTIF('Ubicaciones'!$A$2:$A$501,A447)&gt;1,"DUPLICADO","OK"))</x:f>
      </x:c>
    </x:row>
    <x:row r="448">
      <x:c r="A448" t="n">
        <x:f>'Ubicaciones'!A436</x:f>
        <x:v>0</x:v>
      </x:c>
      <x:c r="B448" t="str">
        <x:f>IF(A448="","",IF(COUNTIF('Indicadores'!$A$2:$A$501,A448)=0,"FALTA","OK"))</x:f>
      </x:c>
      <x:c r="C448" t="str">
        <x:f>IF(A448="","",IF(COUNTIF('Ubicaciones'!$A$2:$A$501,A448)&gt;1,"DUPLICADO","OK"))</x:f>
      </x:c>
    </x:row>
    <x:row r="449">
      <x:c r="A449" t="n">
        <x:f>'Ubicaciones'!A437</x:f>
        <x:v>0</x:v>
      </x:c>
      <x:c r="B449" t="str">
        <x:f>IF(A449="","",IF(COUNTIF('Indicadores'!$A$2:$A$501,A449)=0,"FALTA","OK"))</x:f>
      </x:c>
      <x:c r="C449" t="str">
        <x:f>IF(A449="","",IF(COUNTIF('Ubicaciones'!$A$2:$A$501,A449)&gt;1,"DUPLICADO","OK"))</x:f>
      </x:c>
    </x:row>
    <x:row r="450">
      <x:c r="A450" t="n">
        <x:f>'Ubicaciones'!A438</x:f>
        <x:v>0</x:v>
      </x:c>
      <x:c r="B450" t="str">
        <x:f>IF(A450="","",IF(COUNTIF('Indicadores'!$A$2:$A$501,A450)=0,"FALTA","OK"))</x:f>
      </x:c>
      <x:c r="C450" t="str">
        <x:f>IF(A450="","",IF(COUNTIF('Ubicaciones'!$A$2:$A$501,A450)&gt;1,"DUPLICADO","OK"))</x:f>
      </x:c>
    </x:row>
    <x:row r="451">
      <x:c r="A451" t="n">
        <x:f>'Ubicaciones'!A439</x:f>
        <x:v>0</x:v>
      </x:c>
      <x:c r="B451" t="str">
        <x:f>IF(A451="","",IF(COUNTIF('Indicadores'!$A$2:$A$501,A451)=0,"FALTA","OK"))</x:f>
      </x:c>
      <x:c r="C451" t="str">
        <x:f>IF(A451="","",IF(COUNTIF('Ubicaciones'!$A$2:$A$501,A451)&gt;1,"DUPLICADO","OK"))</x:f>
      </x:c>
    </x:row>
    <x:row r="452">
      <x:c r="A452" t="n">
        <x:f>'Ubicaciones'!A440</x:f>
        <x:v>0</x:v>
      </x:c>
      <x:c r="B452" t="str">
        <x:f>IF(A452="","",IF(COUNTIF('Indicadores'!$A$2:$A$501,A452)=0,"FALTA","OK"))</x:f>
      </x:c>
      <x:c r="C452" t="str">
        <x:f>IF(A452="","",IF(COUNTIF('Ubicaciones'!$A$2:$A$501,A452)&gt;1,"DUPLICADO","OK"))</x:f>
      </x:c>
    </x:row>
    <x:row r="453">
      <x:c r="A453" t="n">
        <x:f>'Ubicaciones'!A441</x:f>
        <x:v>0</x:v>
      </x:c>
      <x:c r="B453" t="str">
        <x:f>IF(A453="","",IF(COUNTIF('Indicadores'!$A$2:$A$501,A453)=0,"FALTA","OK"))</x:f>
      </x:c>
      <x:c r="C453" t="str">
        <x:f>IF(A453="","",IF(COUNTIF('Ubicaciones'!$A$2:$A$501,A453)&gt;1,"DUPLICADO","OK"))</x:f>
      </x:c>
    </x:row>
    <x:row r="454">
      <x:c r="A454" t="n">
        <x:f>'Ubicaciones'!A442</x:f>
        <x:v>0</x:v>
      </x:c>
      <x:c r="B454" t="str">
        <x:f>IF(A454="","",IF(COUNTIF('Indicadores'!$A$2:$A$501,A454)=0,"FALTA","OK"))</x:f>
      </x:c>
      <x:c r="C454" t="str">
        <x:f>IF(A454="","",IF(COUNTIF('Ubicaciones'!$A$2:$A$501,A454)&gt;1,"DUPLICADO","OK"))</x:f>
      </x:c>
    </x:row>
    <x:row r="455">
      <x:c r="A455" t="n">
        <x:f>'Ubicaciones'!A443</x:f>
        <x:v>0</x:v>
      </x:c>
      <x:c r="B455" t="str">
        <x:f>IF(A455="","",IF(COUNTIF('Indicadores'!$A$2:$A$501,A455)=0,"FALTA","OK"))</x:f>
      </x:c>
      <x:c r="C455" t="str">
        <x:f>IF(A455="","",IF(COUNTIF('Ubicaciones'!$A$2:$A$501,A455)&gt;1,"DUPLICADO","OK"))</x:f>
      </x:c>
    </x:row>
    <x:row r="456">
      <x:c r="A456" t="n">
        <x:f>'Ubicaciones'!A444</x:f>
        <x:v>0</x:v>
      </x:c>
      <x:c r="B456" t="str">
        <x:f>IF(A456="","",IF(COUNTIF('Indicadores'!$A$2:$A$501,A456)=0,"FALTA","OK"))</x:f>
      </x:c>
      <x:c r="C456" t="str">
        <x:f>IF(A456="","",IF(COUNTIF('Ubicaciones'!$A$2:$A$501,A456)&gt;1,"DUPLICADO","OK"))</x:f>
      </x:c>
    </x:row>
    <x:row r="457">
      <x:c r="A457" t="n">
        <x:f>'Ubicaciones'!A445</x:f>
        <x:v>0</x:v>
      </x:c>
      <x:c r="B457" t="str">
        <x:f>IF(A457="","",IF(COUNTIF('Indicadores'!$A$2:$A$501,A457)=0,"FALTA","OK"))</x:f>
      </x:c>
      <x:c r="C457" t="str">
        <x:f>IF(A457="","",IF(COUNTIF('Ubicaciones'!$A$2:$A$501,A457)&gt;1,"DUPLICADO","OK"))</x:f>
      </x:c>
    </x:row>
    <x:row r="458">
      <x:c r="A458" t="n">
        <x:f>'Ubicaciones'!A446</x:f>
        <x:v>0</x:v>
      </x:c>
      <x:c r="B458" t="str">
        <x:f>IF(A458="","",IF(COUNTIF('Indicadores'!$A$2:$A$501,A458)=0,"FALTA","OK"))</x:f>
      </x:c>
      <x:c r="C458" t="str">
        <x:f>IF(A458="","",IF(COUNTIF('Ubicaciones'!$A$2:$A$501,A458)&gt;1,"DUPLICADO","OK"))</x:f>
      </x:c>
    </x:row>
    <x:row r="459">
      <x:c r="A459" t="n">
        <x:f>'Ubicaciones'!A447</x:f>
        <x:v>0</x:v>
      </x:c>
      <x:c r="B459" t="str">
        <x:f>IF(A459="","",IF(COUNTIF('Indicadores'!$A$2:$A$501,A459)=0,"FALTA","OK"))</x:f>
      </x:c>
      <x:c r="C459" t="str">
        <x:f>IF(A459="","",IF(COUNTIF('Ubicaciones'!$A$2:$A$501,A459)&gt;1,"DUPLICADO","OK"))</x:f>
      </x:c>
    </x:row>
    <x:row r="460">
      <x:c r="A460" t="n">
        <x:f>'Ubicaciones'!A448</x:f>
        <x:v>0</x:v>
      </x:c>
      <x:c r="B460" t="str">
        <x:f>IF(A460="","",IF(COUNTIF('Indicadores'!$A$2:$A$501,A460)=0,"FALTA","OK"))</x:f>
      </x:c>
      <x:c r="C460" t="str">
        <x:f>IF(A460="","",IF(COUNTIF('Ubicaciones'!$A$2:$A$501,A460)&gt;1,"DUPLICADO","OK"))</x:f>
      </x:c>
    </x:row>
    <x:row r="461">
      <x:c r="A461" t="n">
        <x:f>'Ubicaciones'!A449</x:f>
        <x:v>0</x:v>
      </x:c>
      <x:c r="B461" t="str">
        <x:f>IF(A461="","",IF(COUNTIF('Indicadores'!$A$2:$A$501,A461)=0,"FALTA","OK"))</x:f>
      </x:c>
      <x:c r="C461" t="str">
        <x:f>IF(A461="","",IF(COUNTIF('Ubicaciones'!$A$2:$A$501,A461)&gt;1,"DUPLICADO","OK"))</x:f>
      </x:c>
    </x:row>
    <x:row r="462">
      <x:c r="A462" t="n">
        <x:f>'Ubicaciones'!A450</x:f>
        <x:v>0</x:v>
      </x:c>
      <x:c r="B462" t="str">
        <x:f>IF(A462="","",IF(COUNTIF('Indicadores'!$A$2:$A$501,A462)=0,"FALTA","OK"))</x:f>
      </x:c>
      <x:c r="C462" t="str">
        <x:f>IF(A462="","",IF(COUNTIF('Ubicaciones'!$A$2:$A$501,A462)&gt;1,"DUPLICADO","OK"))</x:f>
      </x:c>
    </x:row>
    <x:row r="463">
      <x:c r="A463" t="n">
        <x:f>'Ubicaciones'!A451</x:f>
        <x:v>0</x:v>
      </x:c>
      <x:c r="B463" t="str">
        <x:f>IF(A463="","",IF(COUNTIF('Indicadores'!$A$2:$A$501,A463)=0,"FALTA","OK"))</x:f>
      </x:c>
      <x:c r="C463" t="str">
        <x:f>IF(A463="","",IF(COUNTIF('Ubicaciones'!$A$2:$A$501,A463)&gt;1,"DUPLICADO","OK"))</x:f>
      </x:c>
    </x:row>
    <x:row r="464">
      <x:c r="A464" t="n">
        <x:f>'Ubicaciones'!A452</x:f>
        <x:v>0</x:v>
      </x:c>
      <x:c r="B464" t="str">
        <x:f>IF(A464="","",IF(COUNTIF('Indicadores'!$A$2:$A$501,A464)=0,"FALTA","OK"))</x:f>
      </x:c>
      <x:c r="C464" t="str">
        <x:f>IF(A464="","",IF(COUNTIF('Ubicaciones'!$A$2:$A$501,A464)&gt;1,"DUPLICADO","OK"))</x:f>
      </x:c>
    </x:row>
    <x:row r="465">
      <x:c r="A465" t="n">
        <x:f>'Ubicaciones'!A453</x:f>
        <x:v>0</x:v>
      </x:c>
      <x:c r="B465" t="str">
        <x:f>IF(A465="","",IF(COUNTIF('Indicadores'!$A$2:$A$501,A465)=0,"FALTA","OK"))</x:f>
      </x:c>
      <x:c r="C465" t="str">
        <x:f>IF(A465="","",IF(COUNTIF('Ubicaciones'!$A$2:$A$501,A465)&gt;1,"DUPLICADO","OK"))</x:f>
      </x:c>
    </x:row>
    <x:row r="466">
      <x:c r="A466" t="n">
        <x:f>'Ubicaciones'!A454</x:f>
        <x:v>0</x:v>
      </x:c>
      <x:c r="B466" t="str">
        <x:f>IF(A466="","",IF(COUNTIF('Indicadores'!$A$2:$A$501,A466)=0,"FALTA","OK"))</x:f>
      </x:c>
      <x:c r="C466" t="str">
        <x:f>IF(A466="","",IF(COUNTIF('Ubicaciones'!$A$2:$A$501,A466)&gt;1,"DUPLICADO","OK"))</x:f>
      </x:c>
    </x:row>
    <x:row r="467">
      <x:c r="A467" t="n">
        <x:f>'Ubicaciones'!A455</x:f>
        <x:v>0</x:v>
      </x:c>
      <x:c r="B467" t="str">
        <x:f>IF(A467="","",IF(COUNTIF('Indicadores'!$A$2:$A$501,A467)=0,"FALTA","OK"))</x:f>
      </x:c>
      <x:c r="C467" t="str">
        <x:f>IF(A467="","",IF(COUNTIF('Ubicaciones'!$A$2:$A$501,A467)&gt;1,"DUPLICADO","OK"))</x:f>
      </x:c>
    </x:row>
    <x:row r="468">
      <x:c r="A468" t="n">
        <x:f>'Ubicaciones'!A456</x:f>
        <x:v>0</x:v>
      </x:c>
      <x:c r="B468" t="str">
        <x:f>IF(A468="","",IF(COUNTIF('Indicadores'!$A$2:$A$501,A468)=0,"FALTA","OK"))</x:f>
      </x:c>
      <x:c r="C468" t="str">
        <x:f>IF(A468="","",IF(COUNTIF('Ubicaciones'!$A$2:$A$501,A468)&gt;1,"DUPLICADO","OK"))</x:f>
      </x:c>
    </x:row>
    <x:row r="469">
      <x:c r="A469" t="n">
        <x:f>'Ubicaciones'!A457</x:f>
        <x:v>0</x:v>
      </x:c>
      <x:c r="B469" t="str">
        <x:f>IF(A469="","",IF(COUNTIF('Indicadores'!$A$2:$A$501,A469)=0,"FALTA","OK"))</x:f>
      </x:c>
      <x:c r="C469" t="str">
        <x:f>IF(A469="","",IF(COUNTIF('Ubicaciones'!$A$2:$A$501,A469)&gt;1,"DUPLICADO","OK"))</x:f>
      </x:c>
    </x:row>
    <x:row r="470">
      <x:c r="A470" t="n">
        <x:f>'Ubicaciones'!A458</x:f>
        <x:v>0</x:v>
      </x:c>
      <x:c r="B470" t="str">
        <x:f>IF(A470="","",IF(COUNTIF('Indicadores'!$A$2:$A$501,A470)=0,"FALTA","OK"))</x:f>
      </x:c>
      <x:c r="C470" t="str">
        <x:f>IF(A470="","",IF(COUNTIF('Ubicaciones'!$A$2:$A$501,A470)&gt;1,"DUPLICADO","OK"))</x:f>
      </x:c>
    </x:row>
    <x:row r="471">
      <x:c r="A471" t="n">
        <x:f>'Ubicaciones'!A459</x:f>
        <x:v>0</x:v>
      </x:c>
      <x:c r="B471" t="str">
        <x:f>IF(A471="","",IF(COUNTIF('Indicadores'!$A$2:$A$501,A471)=0,"FALTA","OK"))</x:f>
      </x:c>
      <x:c r="C471" t="str">
        <x:f>IF(A471="","",IF(COUNTIF('Ubicaciones'!$A$2:$A$501,A471)&gt;1,"DUPLICADO","OK"))</x:f>
      </x:c>
    </x:row>
    <x:row r="472">
      <x:c r="A472" t="n">
        <x:f>'Ubicaciones'!A460</x:f>
        <x:v>0</x:v>
      </x:c>
      <x:c r="B472" t="str">
        <x:f>IF(A472="","",IF(COUNTIF('Indicadores'!$A$2:$A$501,A472)=0,"FALTA","OK"))</x:f>
      </x:c>
      <x:c r="C472" t="str">
        <x:f>IF(A472="","",IF(COUNTIF('Ubicaciones'!$A$2:$A$501,A472)&gt;1,"DUPLICADO","OK"))</x:f>
      </x:c>
    </x:row>
    <x:row r="473">
      <x:c r="A473" t="n">
        <x:f>'Ubicaciones'!A461</x:f>
        <x:v>0</x:v>
      </x:c>
      <x:c r="B473" t="str">
        <x:f>IF(A473="","",IF(COUNTIF('Indicadores'!$A$2:$A$501,A473)=0,"FALTA","OK"))</x:f>
      </x:c>
      <x:c r="C473" t="str">
        <x:f>IF(A473="","",IF(COUNTIF('Ubicaciones'!$A$2:$A$501,A473)&gt;1,"DUPLICADO","OK"))</x:f>
      </x:c>
    </x:row>
    <x:row r="474">
      <x:c r="A474" t="n">
        <x:f>'Ubicaciones'!A462</x:f>
        <x:v>0</x:v>
      </x:c>
      <x:c r="B474" t="str">
        <x:f>IF(A474="","",IF(COUNTIF('Indicadores'!$A$2:$A$501,A474)=0,"FALTA","OK"))</x:f>
      </x:c>
      <x:c r="C474" t="str">
        <x:f>IF(A474="","",IF(COUNTIF('Ubicaciones'!$A$2:$A$501,A474)&gt;1,"DUPLICADO","OK"))</x:f>
      </x:c>
    </x:row>
    <x:row r="475">
      <x:c r="A475" t="n">
        <x:f>'Ubicaciones'!A463</x:f>
        <x:v>0</x:v>
      </x:c>
      <x:c r="B475" t="str">
        <x:f>IF(A475="","",IF(COUNTIF('Indicadores'!$A$2:$A$501,A475)=0,"FALTA","OK"))</x:f>
      </x:c>
      <x:c r="C475" t="str">
        <x:f>IF(A475="","",IF(COUNTIF('Ubicaciones'!$A$2:$A$501,A475)&gt;1,"DUPLICADO","OK"))</x:f>
      </x:c>
    </x:row>
    <x:row r="476">
      <x:c r="A476" t="n">
        <x:f>'Ubicaciones'!A464</x:f>
        <x:v>0</x:v>
      </x:c>
      <x:c r="B476" t="str">
        <x:f>IF(A476="","",IF(COUNTIF('Indicadores'!$A$2:$A$501,A476)=0,"FALTA","OK"))</x:f>
      </x:c>
      <x:c r="C476" t="str">
        <x:f>IF(A476="","",IF(COUNTIF('Ubicaciones'!$A$2:$A$501,A476)&gt;1,"DUPLICADO","OK"))</x:f>
      </x:c>
    </x:row>
    <x:row r="477">
      <x:c r="A477" t="n">
        <x:f>'Ubicaciones'!A465</x:f>
        <x:v>0</x:v>
      </x:c>
      <x:c r="B477" t="str">
        <x:f>IF(A477="","",IF(COUNTIF('Indicadores'!$A$2:$A$501,A477)=0,"FALTA","OK"))</x:f>
      </x:c>
      <x:c r="C477" t="str">
        <x:f>IF(A477="","",IF(COUNTIF('Ubicaciones'!$A$2:$A$501,A477)&gt;1,"DUPLICADO","OK"))</x:f>
      </x:c>
    </x:row>
    <x:row r="478">
      <x:c r="A478" t="n">
        <x:f>'Ubicaciones'!A466</x:f>
        <x:v>0</x:v>
      </x:c>
      <x:c r="B478" t="str">
        <x:f>IF(A478="","",IF(COUNTIF('Indicadores'!$A$2:$A$501,A478)=0,"FALTA","OK"))</x:f>
      </x:c>
      <x:c r="C478" t="str">
        <x:f>IF(A478="","",IF(COUNTIF('Ubicaciones'!$A$2:$A$501,A478)&gt;1,"DUPLICADO","OK"))</x:f>
      </x:c>
    </x:row>
    <x:row r="479">
      <x:c r="A479" t="n">
        <x:f>'Ubicaciones'!A467</x:f>
        <x:v>0</x:v>
      </x:c>
      <x:c r="B479" t="str">
        <x:f>IF(A479="","",IF(COUNTIF('Indicadores'!$A$2:$A$501,A479)=0,"FALTA","OK"))</x:f>
      </x:c>
      <x:c r="C479" t="str">
        <x:f>IF(A479="","",IF(COUNTIF('Ubicaciones'!$A$2:$A$501,A479)&gt;1,"DUPLICADO","OK"))</x:f>
      </x:c>
    </x:row>
    <x:row r="480">
      <x:c r="A480" t="n">
        <x:f>'Ubicaciones'!A468</x:f>
        <x:v>0</x:v>
      </x:c>
      <x:c r="B480" t="str">
        <x:f>IF(A480="","",IF(COUNTIF('Indicadores'!$A$2:$A$501,A480)=0,"FALTA","OK"))</x:f>
      </x:c>
      <x:c r="C480" t="str">
        <x:f>IF(A480="","",IF(COUNTIF('Ubicaciones'!$A$2:$A$501,A480)&gt;1,"DUPLICADO","OK"))</x:f>
      </x:c>
    </x:row>
    <x:row r="481">
      <x:c r="A481" t="n">
        <x:f>'Ubicaciones'!A469</x:f>
        <x:v>0</x:v>
      </x:c>
      <x:c r="B481" t="str">
        <x:f>IF(A481="","",IF(COUNTIF('Indicadores'!$A$2:$A$501,A481)=0,"FALTA","OK"))</x:f>
      </x:c>
      <x:c r="C481" t="str">
        <x:f>IF(A481="","",IF(COUNTIF('Ubicaciones'!$A$2:$A$501,A481)&gt;1,"DUPLICADO","OK"))</x:f>
      </x:c>
    </x:row>
    <x:row r="482">
      <x:c r="A482" t="n">
        <x:f>'Ubicaciones'!A470</x:f>
        <x:v>0</x:v>
      </x:c>
      <x:c r="B482" t="str">
        <x:f>IF(A482="","",IF(COUNTIF('Indicadores'!$A$2:$A$501,A482)=0,"FALTA","OK"))</x:f>
      </x:c>
      <x:c r="C482" t="str">
        <x:f>IF(A482="","",IF(COUNTIF('Ubicaciones'!$A$2:$A$501,A482)&gt;1,"DUPLICADO","OK"))</x:f>
      </x:c>
    </x:row>
    <x:row r="483">
      <x:c r="A483" t="n">
        <x:f>'Ubicaciones'!A471</x:f>
        <x:v>0</x:v>
      </x:c>
      <x:c r="B483" t="str">
        <x:f>IF(A483="","",IF(COUNTIF('Indicadores'!$A$2:$A$501,A483)=0,"FALTA","OK"))</x:f>
      </x:c>
      <x:c r="C483" t="str">
        <x:f>IF(A483="","",IF(COUNTIF('Ubicaciones'!$A$2:$A$501,A483)&gt;1,"DUPLICADO","OK"))</x:f>
      </x:c>
    </x:row>
    <x:row r="484">
      <x:c r="A484" t="n">
        <x:f>'Ubicaciones'!A472</x:f>
        <x:v>0</x:v>
      </x:c>
      <x:c r="B484" t="str">
        <x:f>IF(A484="","",IF(COUNTIF('Indicadores'!$A$2:$A$501,A484)=0,"FALTA","OK"))</x:f>
      </x:c>
      <x:c r="C484" t="str">
        <x:f>IF(A484="","",IF(COUNTIF('Ubicaciones'!$A$2:$A$501,A484)&gt;1,"DUPLICADO","OK"))</x:f>
      </x:c>
    </x:row>
    <x:row r="485">
      <x:c r="A485" t="n">
        <x:f>'Ubicaciones'!A473</x:f>
        <x:v>0</x:v>
      </x:c>
      <x:c r="B485" t="str">
        <x:f>IF(A485="","",IF(COUNTIF('Indicadores'!$A$2:$A$501,A485)=0,"FALTA","OK"))</x:f>
      </x:c>
      <x:c r="C485" t="str">
        <x:f>IF(A485="","",IF(COUNTIF('Ubicaciones'!$A$2:$A$501,A485)&gt;1,"DUPLICADO","OK"))</x:f>
      </x:c>
    </x:row>
    <x:row r="486">
      <x:c r="A486" t="n">
        <x:f>'Ubicaciones'!A474</x:f>
        <x:v>0</x:v>
      </x:c>
      <x:c r="B486" t="str">
        <x:f>IF(A486="","",IF(COUNTIF('Indicadores'!$A$2:$A$501,A486)=0,"FALTA","OK"))</x:f>
      </x:c>
      <x:c r="C486" t="str">
        <x:f>IF(A486="","",IF(COUNTIF('Ubicaciones'!$A$2:$A$501,A486)&gt;1,"DUPLICADO","OK"))</x:f>
      </x:c>
    </x:row>
    <x:row r="487">
      <x:c r="A487" t="n">
        <x:f>'Ubicaciones'!A475</x:f>
        <x:v>0</x:v>
      </x:c>
      <x:c r="B487" t="str">
        <x:f>IF(A487="","",IF(COUNTIF('Indicadores'!$A$2:$A$501,A487)=0,"FALTA","OK"))</x:f>
      </x:c>
      <x:c r="C487" t="str">
        <x:f>IF(A487="","",IF(COUNTIF('Ubicaciones'!$A$2:$A$501,A487)&gt;1,"DUPLICADO","OK"))</x:f>
      </x:c>
    </x:row>
    <x:row r="488">
      <x:c r="A488" t="n">
        <x:f>'Ubicaciones'!A476</x:f>
        <x:v>0</x:v>
      </x:c>
      <x:c r="B488" t="str">
        <x:f>IF(A488="","",IF(COUNTIF('Indicadores'!$A$2:$A$501,A488)=0,"FALTA","OK"))</x:f>
      </x:c>
      <x:c r="C488" t="str">
        <x:f>IF(A488="","",IF(COUNTIF('Ubicaciones'!$A$2:$A$501,A488)&gt;1,"DUPLICADO","OK"))</x:f>
      </x:c>
    </x:row>
    <x:row r="489">
      <x:c r="A489" t="n">
        <x:f>'Ubicaciones'!A477</x:f>
        <x:v>0</x:v>
      </x:c>
      <x:c r="B489" t="str">
        <x:f>IF(A489="","",IF(COUNTIF('Indicadores'!$A$2:$A$501,A489)=0,"FALTA","OK"))</x:f>
      </x:c>
      <x:c r="C489" t="str">
        <x:f>IF(A489="","",IF(COUNTIF('Ubicaciones'!$A$2:$A$501,A489)&gt;1,"DUPLICADO","OK"))</x:f>
      </x:c>
    </x:row>
    <x:row r="490">
      <x:c r="A490" t="n">
        <x:f>'Ubicaciones'!A478</x:f>
        <x:v>0</x:v>
      </x:c>
      <x:c r="B490" t="str">
        <x:f>IF(A490="","",IF(COUNTIF('Indicadores'!$A$2:$A$501,A490)=0,"FALTA","OK"))</x:f>
      </x:c>
      <x:c r="C490" t="str">
        <x:f>IF(A490="","",IF(COUNTIF('Ubicaciones'!$A$2:$A$501,A490)&gt;1,"DUPLICADO","OK"))</x:f>
      </x:c>
    </x:row>
    <x:row r="491">
      <x:c r="A491" t="n">
        <x:f>'Ubicaciones'!A479</x:f>
        <x:v>0</x:v>
      </x:c>
      <x:c r="B491" t="str">
        <x:f>IF(A491="","",IF(COUNTIF('Indicadores'!$A$2:$A$501,A491)=0,"FALTA","OK"))</x:f>
      </x:c>
      <x:c r="C491" t="str">
        <x:f>IF(A491="","",IF(COUNTIF('Ubicaciones'!$A$2:$A$501,A491)&gt;1,"DUPLICADO","OK"))</x:f>
      </x:c>
    </x:row>
    <x:row r="492">
      <x:c r="A492" t="n">
        <x:f>'Ubicaciones'!A480</x:f>
        <x:v>0</x:v>
      </x:c>
      <x:c r="B492" t="str">
        <x:f>IF(A492="","",IF(COUNTIF('Indicadores'!$A$2:$A$501,A492)=0,"FALTA","OK"))</x:f>
      </x:c>
      <x:c r="C492" t="str">
        <x:f>IF(A492="","",IF(COUNTIF('Ubicaciones'!$A$2:$A$501,A492)&gt;1,"DUPLICADO","OK"))</x:f>
      </x:c>
    </x:row>
    <x:row r="493">
      <x:c r="A493" t="n">
        <x:f>'Ubicaciones'!A481</x:f>
        <x:v>0</x:v>
      </x:c>
      <x:c r="B493" t="str">
        <x:f>IF(A493="","",IF(COUNTIF('Indicadores'!$A$2:$A$501,A493)=0,"FALTA","OK"))</x:f>
      </x:c>
      <x:c r="C493" t="str">
        <x:f>IF(A493="","",IF(COUNTIF('Ubicaciones'!$A$2:$A$501,A493)&gt;1,"DUPLICADO","OK"))</x:f>
      </x:c>
    </x:row>
    <x:row r="494">
      <x:c r="A494" t="n">
        <x:f>'Ubicaciones'!A482</x:f>
        <x:v>0</x:v>
      </x:c>
      <x:c r="B494" t="str">
        <x:f>IF(A494="","",IF(COUNTIF('Indicadores'!$A$2:$A$501,A494)=0,"FALTA","OK"))</x:f>
      </x:c>
      <x:c r="C494" t="str">
        <x:f>IF(A494="","",IF(COUNTIF('Ubicaciones'!$A$2:$A$501,A494)&gt;1,"DUPLICADO","OK"))</x:f>
      </x:c>
    </x:row>
    <x:row r="495">
      <x:c r="A495" t="n">
        <x:f>'Ubicaciones'!A483</x:f>
        <x:v>0</x:v>
      </x:c>
      <x:c r="B495" t="str">
        <x:f>IF(A495="","",IF(COUNTIF('Indicadores'!$A$2:$A$501,A495)=0,"FALTA","OK"))</x:f>
      </x:c>
      <x:c r="C495" t="str">
        <x:f>IF(A495="","",IF(COUNTIF('Ubicaciones'!$A$2:$A$501,A495)&gt;1,"DUPLICADO","OK"))</x:f>
      </x:c>
    </x:row>
    <x:row r="496">
      <x:c r="A496" t="n">
        <x:f>'Ubicaciones'!A484</x:f>
        <x:v>0</x:v>
      </x:c>
      <x:c r="B496" t="str">
        <x:f>IF(A496="","",IF(COUNTIF('Indicadores'!$A$2:$A$501,A496)=0,"FALTA","OK"))</x:f>
      </x:c>
      <x:c r="C496" t="str">
        <x:f>IF(A496="","",IF(COUNTIF('Ubicaciones'!$A$2:$A$501,A496)&gt;1,"DUPLICADO","OK"))</x:f>
      </x:c>
    </x:row>
    <x:row r="497">
      <x:c r="A497" t="n">
        <x:f>'Ubicaciones'!A485</x:f>
        <x:v>0</x:v>
      </x:c>
      <x:c r="B497" t="str">
        <x:f>IF(A497="","",IF(COUNTIF('Indicadores'!$A$2:$A$501,A497)=0,"FALTA","OK"))</x:f>
      </x:c>
      <x:c r="C497" t="str">
        <x:f>IF(A497="","",IF(COUNTIF('Ubicaciones'!$A$2:$A$501,A497)&gt;1,"DUPLICADO","OK"))</x:f>
      </x:c>
    </x:row>
    <x:row r="498">
      <x:c r="A498" t="n">
        <x:f>'Ubicaciones'!A486</x:f>
        <x:v>0</x:v>
      </x:c>
      <x:c r="B498" t="str">
        <x:f>IF(A498="","",IF(COUNTIF('Indicadores'!$A$2:$A$501,A498)=0,"FALTA","OK"))</x:f>
      </x:c>
      <x:c r="C498" t="str">
        <x:f>IF(A498="","",IF(COUNTIF('Ubicaciones'!$A$2:$A$501,A498)&gt;1,"DUPLICADO","OK"))</x:f>
      </x:c>
    </x:row>
    <x:row r="499">
      <x:c r="A499" t="n">
        <x:f>'Ubicaciones'!A487</x:f>
        <x:v>0</x:v>
      </x:c>
      <x:c r="B499" t="str">
        <x:f>IF(A499="","",IF(COUNTIF('Indicadores'!$A$2:$A$501,A499)=0,"FALTA","OK"))</x:f>
      </x:c>
      <x:c r="C499" t="str">
        <x:f>IF(A499="","",IF(COUNTIF('Ubicaciones'!$A$2:$A$501,A499)&gt;1,"DUPLICADO","OK"))</x:f>
      </x:c>
    </x:row>
    <x:row r="500">
      <x:c r="A500" t="n">
        <x:f>'Ubicaciones'!A488</x:f>
        <x:v>0</x:v>
      </x:c>
      <x:c r="B500" t="str">
        <x:f>IF(A500="","",IF(COUNTIF('Indicadores'!$A$2:$A$501,A500)=0,"FALTA","OK"))</x:f>
      </x:c>
      <x:c r="C500" t="str">
        <x:f>IF(A500="","",IF(COUNTIF('Ubicaciones'!$A$2:$A$501,A500)&gt;1,"DUPLICADO","OK"))</x:f>
      </x:c>
    </x:row>
    <x:row r="501">
      <x:c r="A501" t="n">
        <x:f>'Ubicaciones'!A489</x:f>
        <x:v>0</x:v>
      </x:c>
      <x:c r="B501" t="str">
        <x:f>IF(A501="","",IF(COUNTIF('Indicadores'!$A$2:$A$501,A501)=0,"FALTA","OK"))</x:f>
      </x:c>
      <x:c r="C501" t="str">
        <x:f>IF(A501="","",IF(COUNTIF('Ubicaciones'!$A$2:$A$501,A501)&gt;1,"DUPLICADO","OK"))</x:f>
      </x:c>
    </x:row>
    <x:row r="502">
      <x:c r="A502" t="n">
        <x:f>'Ubicaciones'!A490</x:f>
        <x:v>0</x:v>
      </x:c>
      <x:c r="B502" t="str">
        <x:f>IF(A502="","",IF(COUNTIF('Indicadores'!$A$2:$A$501,A502)=0,"FALTA","OK"))</x:f>
      </x:c>
      <x:c r="C502" t="str">
        <x:f>IF(A502="","",IF(COUNTIF('Ubicaciones'!$A$2:$A$501,A502)&gt;1,"DUPLICADO","OK"))</x:f>
      </x:c>
    </x:row>
    <x:row r="503">
      <x:c r="A503" t="n">
        <x:f>'Ubicaciones'!A491</x:f>
        <x:v>0</x:v>
      </x:c>
      <x:c r="B503" t="str">
        <x:f>IF(A503="","",IF(COUNTIF('Indicadores'!$A$2:$A$501,A503)=0,"FALTA","OK"))</x:f>
      </x:c>
      <x:c r="C503" t="str">
        <x:f>IF(A503="","",IF(COUNTIF('Ubicaciones'!$A$2:$A$501,A503)&gt;1,"DUPLICADO","OK"))</x:f>
      </x:c>
    </x:row>
    <x:row r="504">
      <x:c r="A504" t="n">
        <x:f>'Ubicaciones'!A492</x:f>
        <x:v>0</x:v>
      </x:c>
      <x:c r="B504" t="str">
        <x:f>IF(A504="","",IF(COUNTIF('Indicadores'!$A$2:$A$501,A504)=0,"FALTA","OK"))</x:f>
      </x:c>
      <x:c r="C504" t="str">
        <x:f>IF(A504="","",IF(COUNTIF('Ubicaciones'!$A$2:$A$501,A504)&gt;1,"DUPLICADO","OK"))</x:f>
      </x:c>
    </x:row>
    <x:row r="505">
      <x:c r="A505" t="n">
        <x:f>'Ubicaciones'!A493</x:f>
        <x:v>0</x:v>
      </x:c>
      <x:c r="B505" t="str">
        <x:f>IF(A505="","",IF(COUNTIF('Indicadores'!$A$2:$A$501,A505)=0,"FALTA","OK"))</x:f>
      </x:c>
      <x:c r="C505" t="str">
        <x:f>IF(A505="","",IF(COUNTIF('Ubicaciones'!$A$2:$A$501,A505)&gt;1,"DUPLICADO","OK"))</x:f>
      </x:c>
    </x:row>
    <x:row r="506">
      <x:c r="A506" t="n">
        <x:f>'Ubicaciones'!A494</x:f>
        <x:v>0</x:v>
      </x:c>
      <x:c r="B506" t="str">
        <x:f>IF(A506="","",IF(COUNTIF('Indicadores'!$A$2:$A$501,A506)=0,"FALTA","OK"))</x:f>
      </x:c>
      <x:c r="C506" t="str">
        <x:f>IF(A506="","",IF(COUNTIF('Ubicaciones'!$A$2:$A$501,A506)&gt;1,"DUPLICADO","OK"))</x:f>
      </x:c>
    </x:row>
    <x:row r="507">
      <x:c r="A507" t="n">
        <x:f>'Ubicaciones'!A495</x:f>
        <x:v>0</x:v>
      </x:c>
      <x:c r="B507" t="str">
        <x:f>IF(A507="","",IF(COUNTIF('Indicadores'!$A$2:$A$501,A507)=0,"FALTA","OK"))</x:f>
      </x:c>
      <x:c r="C507" t="str">
        <x:f>IF(A507="","",IF(COUNTIF('Ubicaciones'!$A$2:$A$501,A507)&gt;1,"DUPLICADO","OK"))</x:f>
      </x:c>
    </x:row>
    <x:row r="508">
      <x:c r="A508" t="n">
        <x:f>'Ubicaciones'!A496</x:f>
        <x:v>0</x:v>
      </x:c>
      <x:c r="B508" t="str">
        <x:f>IF(A508="","",IF(COUNTIF('Indicadores'!$A$2:$A$501,A508)=0,"FALTA","OK"))</x:f>
      </x:c>
      <x:c r="C508" t="str">
        <x:f>IF(A508="","",IF(COUNTIF('Ubicaciones'!$A$2:$A$501,A508)&gt;1,"DUPLICADO","OK"))</x:f>
      </x:c>
    </x:row>
    <x:row r="509">
      <x:c r="A509" t="n">
        <x:f>'Ubicaciones'!A497</x:f>
        <x:v>0</x:v>
      </x:c>
      <x:c r="B509" t="str">
        <x:f>IF(A509="","",IF(COUNTIF('Indicadores'!$A$2:$A$501,A509)=0,"FALTA","OK"))</x:f>
      </x:c>
      <x:c r="C509" t="str">
        <x:f>IF(A509="","",IF(COUNTIF('Ubicaciones'!$A$2:$A$501,A509)&gt;1,"DUPLICADO","OK"))</x:f>
      </x:c>
    </x:row>
    <x:row r="510">
      <x:c r="A510" t="n">
        <x:f>'Ubicaciones'!A498</x:f>
        <x:v>0</x:v>
      </x:c>
      <x:c r="B510" t="str">
        <x:f>IF(A510="","",IF(COUNTIF('Indicadores'!$A$2:$A$501,A510)=0,"FALTA","OK"))</x:f>
      </x:c>
      <x:c r="C510" t="str">
        <x:f>IF(A510="","",IF(COUNTIF('Ubicaciones'!$A$2:$A$501,A510)&gt;1,"DUPLICADO","OK"))</x:f>
      </x:c>
    </x:row>
    <x:row r="511">
      <x:c r="A511" t="n">
        <x:f>'Ubicaciones'!A499</x:f>
        <x:v>0</x:v>
      </x:c>
      <x:c r="B511" t="str">
        <x:f>IF(A511="","",IF(COUNTIF('Indicadores'!$A$2:$A$501,A511)=0,"FALTA","OK"))</x:f>
      </x:c>
      <x:c r="C511" t="str">
        <x:f>IF(A511="","",IF(COUNTIF('Ubicaciones'!$A$2:$A$501,A511)&gt;1,"DUPLICADO","OK"))</x:f>
      </x:c>
    </x:row>
    <x:row r="512">
      <x:c r="A512" t="n">
        <x:f>'Ubicaciones'!A500</x:f>
        <x:v>0</x:v>
      </x:c>
      <x:c r="B512" t="str">
        <x:f>IF(A512="","",IF(COUNTIF('Indicadores'!$A$2:$A$501,A512)=0,"FALTA","OK"))</x:f>
      </x:c>
      <x:c r="C512" t="str">
        <x:f>IF(A512="","",IF(COUNTIF('Ubicaciones'!$A$2:$A$501,A512)&gt;1,"DUPLICADO","OK"))</x:f>
      </x:c>
    </x:row>
    <x:row r="513">
      <x:c r="A513" t="n">
        <x:f>'Ubicaciones'!A501</x:f>
        <x:v>0</x:v>
      </x:c>
      <x:c r="B513" t="str">
        <x:f>IF(A513="","",IF(COUNTIF('Indicadores'!$A$2:$A$501,A513)=0,"FALTA","OK"))</x:f>
      </x:c>
      <x:c r="C513" t="str">
        <x:f>IF(A513="","",IF(COUNTIF('Ubicaciones'!$A$2:$A$501,A513)&gt;1,"DUPLICADO","OK"))</x:f>
      </x:c>
    </x:row>
  </x:sheetData>
  <x:mergeCells>
    <x:mergeCell ref="A1:F2"/>
    <x:mergeCell ref="A10:F10"/>
    <x:mergeCell ref="A10:F11"/>
  </x:mergeCells>
  <x:conditionalFormatting sqref="B7:B8">
    <x:cfRule type="cellIs" dxfId="0" priority="1" operator="greaterThan">
      <x:formula>0</x:formula>
    </x:cfRule>
  </x:conditionalFormatting>
  <x:conditionalFormatting sqref="B5:B6">
    <x:cfRule type="cellIs" dxfId="1" priority="2" operator="equal">
      <x:formula>0</x:formula>
    </x:cfRule>
  </x:conditionalFormatting>
  <x:conditionalFormatting sqref="B14:C513">
    <x:cfRule type="containsText" dxfId="2" priority="3" operator="containsText" text="FALTA"/>
    <x:cfRule type="containsText" dxfId="3" priority="4" operator="containsText" text="DUPLICADO"/>
  </x:conditionalFormatting>
  <x:pageMargins left="0.7" right="0.7" top="0.75" bottom="0.75" header="0.3" footer="0.3"/>
</x:worksheet>
</file>